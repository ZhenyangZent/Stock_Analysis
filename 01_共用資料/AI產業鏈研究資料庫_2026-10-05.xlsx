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Companies" sheetId="2" state="visible" r:id="rId4"/>
    <sheet name="Quarterly_Results" sheetId="3" state="visible" r:id="rId5"/>
    <sheet name="TW_Monthly" sheetId="4" state="visible" r:id="rId6"/>
    <sheet name="Valuation" sheetId="5" state="visible" r:id="rId7"/>
    <sheet name="Industry_KPIs" sheetId="6" state="visible" r:id="rId8"/>
    <sheet name="Event_Log" sheetId="7" state="visible" r:id="rId9"/>
    <sheet name="Evidence_Ledger" sheetId="8" state="visible" r:id="rId10"/>
    <sheet name="Risk_Factors" sheetId="9" state="visible" r:id="rId11"/>
    <sheet name="Stress_Test" sheetId="10" state="visible" r:id="rId12"/>
    <sheet name="Predictions" sheetId="11" state="visible" r:id="rId13"/>
    <sheet name="Change_Log" sheetId="12" state="visible" r:id="rId14"/>
  </sheets>
  <definedNames>
    <definedName function="false" hidden="true" localSheetId="11" name="_xlnm._FilterDatabase" vbProcedure="false">Change_Log!$A$1:$E$13</definedName>
    <definedName function="false" hidden="true" localSheetId="1" name="_xlnm._FilterDatabase" vbProcedure="false">Companies!$A$1:$H$23</definedName>
    <definedName function="false" hidden="true" localSheetId="6" name="_xlnm._FilterDatabase" vbProcedure="false">Event_Log!$A$1:$K$11</definedName>
    <definedName function="false" hidden="true" localSheetId="7" name="_xlnm._FilterDatabase" vbProcedure="false">Evidence_Ledger!$A$1:$O$84</definedName>
    <definedName function="false" hidden="true" localSheetId="5" name="_xlnm._FilterDatabase" vbProcedure="false">Industry_KPIs!$A$1:$G$11</definedName>
    <definedName function="false" hidden="true" localSheetId="10" name="_xlnm._FilterDatabase" vbProcedure="false">Predictions!$A$1:$H$9</definedName>
    <definedName function="false" hidden="true" localSheetId="2" name="_xlnm._FilterDatabase" vbProcedure="false">Quarterly_Results!$A$1:$M$13</definedName>
    <definedName function="false" hidden="true" localSheetId="8" name="_xlnm._FilterDatabase" vbProcedure="false">Risk_Factors!$A$2:$G$10</definedName>
    <definedName function="false" hidden="true" localSheetId="3" name="_xlnm._FilterDatabase" vbProcedure="false">TW_Monthly!$A$1:$J$10</definedName>
    <definedName function="false" hidden="true" localSheetId="4" name="_xlnm._FilterDatabase" vbProcedure="false">Valuation!$A$2:$H$23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<sst xmlns="http://schemas.openxmlformats.org/spreadsheetml/2006/main" count="1487" uniqueCount="515">
  <si>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產業鏈研究資料庫</t>
    </r>
  </si>
  <si>
    <t xml:space="preserve">基準日 2026-10-05。搭配《AI 產業鏈投資查證手冊》2.2.1 版使用：方法在手冊，數字在這裡。</t>
  </si>
  <si>
    <t xml:space="preserve">這不是投資建議。所有股價與估值都會過期，使用前必須重抓。</t>
  </si>
  <si>
    <t xml:space="preserve">怎麼用</t>
  </si>
  <si>
    <t xml:space="preserve">黃底儲存格＝尚未填寫，需要你或下次更新時補上。</t>
  </si>
  <si>
    <t xml:space="preserve">藍字＝手動輸入的數字或日期；黑字＝公式或文字。</t>
  </si>
  <si>
    <t xml:space="preserve">每張表第一列的資料列都是真實資料，可當填寫格式的範例。</t>
  </si>
  <si>
    <t xml:space="preserve">新財報或月營收公布時：在 Quarterly_Results 或 TW_Monthly 新增一列，再到 Evidence_Ledger 補一筆來源，最後更新 Event_Log 的結果欄。</t>
  </si>
  <si>
    <t xml:space="preserve">驗證狀態只有四種：已開原文／僅摘要／轉述／未查。「僅摘要」代表只看過搜尋回傳的頁面摘錄，數字可能漏掉限定詞。</t>
  </si>
  <si>
    <t xml:space="preserve">各分頁</t>
  </si>
  <si>
    <t xml:space="preserve">Companies</t>
  </si>
  <si>
    <t xml:space="preserve">公司主檔：產業位置、成熟度分層、歸因等級</t>
  </si>
  <si>
    <t xml:space="preserve">Quarterly_Results</t>
  </si>
  <si>
    <t xml:space="preserve">季度財報：一季一列</t>
  </si>
  <si>
    <t xml:space="preserve">TW_Monthly</t>
  </si>
  <si>
    <t xml:space="preserve">台股月營收：一月一列</t>
  </si>
  <si>
    <t xml:space="preserve">Valuation</t>
  </si>
  <si>
    <t xml:space="preserve">估值快照：全部待填，每次重抓</t>
  </si>
  <si>
    <t xml:space="preserve">Industry_KPIs</t>
  </si>
  <si>
    <t xml:space="preserve">產業指標與研究機構預估</t>
  </si>
  <si>
    <t xml:space="preserve">Event_Log</t>
  </si>
  <si>
    <t xml:space="preserve">事件日曆與預期差紀錄</t>
  </si>
  <si>
    <t xml:space="preserve">Evidence_Ledger</t>
  </si>
  <si>
    <t xml:space="preserve">證據總帳：每個主張一列</t>
  </si>
  <si>
    <t xml:space="preserve">Risk_Factors</t>
  </si>
  <si>
    <t xml:space="preserve">共同風險因子（主觀評級）</t>
  </si>
  <si>
    <t xml:space="preserve">Stress_Test</t>
  </si>
  <si>
    <t xml:space="preserve">壓力測試計算（填黃格）</t>
  </si>
  <si>
    <t xml:space="preserve">Predictions</t>
  </si>
  <si>
    <t xml:space="preserve">預測成績單</t>
  </si>
  <si>
    <t xml:space="preserve">Change_Log</t>
  </si>
  <si>
    <t xml:space="preserve">更正紀錄</t>
  </si>
  <si>
    <t xml:space="preserve">證據總帳統計</t>
  </si>
  <si>
    <t xml:space="preserve">主張總數</t>
  </si>
  <si>
    <t xml:space="preserve">已開原文</t>
  </si>
  <si>
    <t xml:space="preserve">僅摘要</t>
  </si>
  <si>
    <t xml:space="preserve">轉述</t>
  </si>
  <si>
    <t xml:space="preserve">未查</t>
  </si>
  <si>
    <t xml:space="preserve">單位約定</t>
  </si>
  <si>
    <r>
      <rPr>
        <sz val="11"/>
        <color theme="1"/>
        <rFont val="Noto Sans CJK SC"/>
        <family val="2"/>
      </rPr>
      <t xml:space="preserve">本試算表的百分比儲存格內部值是小數（顯示 </t>
    </r>
    <r>
      <rPr>
        <sz val="11"/>
        <color theme="1"/>
        <rFont val="Calibri"/>
        <family val="2"/>
        <charset val="1"/>
      </rPr>
      <t xml:space="preserve">379% </t>
    </r>
    <r>
      <rPr>
        <sz val="11"/>
        <color theme="1"/>
        <rFont val="Noto Sans CJK SC"/>
        <family val="2"/>
      </rPr>
      <t xml:space="preserve">的格子內部是 </t>
    </r>
    <r>
      <rPr>
        <sz val="11"/>
        <color theme="1"/>
        <rFont val="Calibri"/>
        <family val="2"/>
        <charset val="1"/>
      </rPr>
      <t xml:space="preserve">3.79</t>
    </r>
    <r>
      <rPr>
        <sz val="11"/>
        <color theme="1"/>
        <rFont val="Noto Sans CJK SC"/>
        <family val="2"/>
      </rPr>
      <t xml:space="preserve">）。搬到執行紀錄 </t>
    </r>
    <r>
      <rPr>
        <sz val="11"/>
        <color theme="1"/>
        <rFont val="Calibri"/>
        <family val="2"/>
        <charset val="1"/>
      </rPr>
      <t xml:space="preserve">JSON </t>
    </r>
    <r>
      <rPr>
        <sz val="11"/>
        <color theme="1"/>
        <rFont val="Noto Sans CJK SC"/>
        <family val="2"/>
      </rPr>
      <t xml:space="preserve">時要乘以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，寫成 </t>
    </r>
    <r>
      <rPr>
        <sz val="11"/>
        <color theme="1"/>
        <rFont val="Calibri"/>
        <family val="2"/>
        <charset val="1"/>
      </rPr>
      <t xml:space="preserve">379</t>
    </r>
    <r>
      <rPr>
        <sz val="11"/>
        <color theme="1"/>
        <rFont val="Noto Sans CJK SC"/>
        <family val="2"/>
      </rPr>
      <t xml:space="preserve">。公司代號一律用 </t>
    </r>
    <r>
      <rPr>
        <sz val="11"/>
        <color theme="1"/>
        <rFont val="Calibri"/>
        <family val="2"/>
        <charset val="1"/>
      </rPr>
      <t xml:space="preserve">Companies </t>
    </r>
    <r>
      <rPr>
        <sz val="11"/>
        <color theme="1"/>
        <rFont val="Noto Sans CJK SC"/>
        <family val="2"/>
      </rPr>
      <t xml:space="preserve">分頁的標準代號（台積電用 </t>
    </r>
    <r>
      <rPr>
        <sz val="11"/>
        <color theme="1"/>
        <rFont val="Calibri"/>
        <family val="2"/>
        <charset val="1"/>
      </rPr>
      <t xml:space="preserve">TSM</t>
    </r>
    <r>
      <rPr>
        <sz val="11"/>
        <color theme="1"/>
        <rFont val="Noto Sans CJK SC"/>
        <family val="2"/>
      </rPr>
      <t xml:space="preserve">，不用 </t>
    </r>
    <r>
      <rPr>
        <sz val="11"/>
        <color theme="1"/>
        <rFont val="Calibri"/>
        <family val="2"/>
        <charset val="1"/>
      </rPr>
      <t xml:space="preserve">2330</t>
    </r>
    <r>
      <rPr>
        <sz val="11"/>
        <color theme="1"/>
        <rFont val="Noto Sans CJK SC"/>
        <family val="2"/>
      </rPr>
      <t xml:space="preserve">）。</t>
    </r>
  </si>
  <si>
    <t xml:space="preserve">代號</t>
  </si>
  <si>
    <t xml:space="preserve">公司</t>
  </si>
  <si>
    <t xml:space="preserve">市場</t>
  </si>
  <si>
    <t xml:space="preserve">產業位置</t>
  </si>
  <si>
    <t xml:space="preserve">成熟度分層</t>
  </si>
  <si>
    <t xml:space="preserve">歸因等級（A–D）</t>
  </si>
  <si>
    <t xml:space="preserve">會計年度結束</t>
  </si>
  <si>
    <t xml:space="preserve">備註</t>
  </si>
  <si>
    <t xml:space="preserve">MU</t>
  </si>
  <si>
    <t xml:space="preserve">美光</t>
  </si>
  <si>
    <t xml:space="preserve">美股</t>
  </si>
  <si>
    <t xml:space="preserve">記憶體</t>
  </si>
  <si>
    <t xml:space="preserve">第一層</t>
  </si>
  <si>
    <t xml:space="preserve">A</t>
  </si>
  <si>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月（會計年度）</t>
    </r>
  </si>
  <si>
    <t xml:space="preserve">AVGO</t>
  </si>
  <si>
    <t xml:space="preserve">Broadcom</t>
  </si>
  <si>
    <t xml:space="preserve">客製 AI 晶片與網通</t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</si>
  <si>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月底／</t>
    </r>
    <r>
      <rPr>
        <sz val="11"/>
        <rFont val="Arial"/>
        <family val="0"/>
        <charset val="1"/>
      </rPr>
      <t xml:space="preserve">11 </t>
    </r>
    <r>
      <rPr>
        <sz val="11"/>
        <rFont val="Noto Sans CJK SC"/>
        <family val="2"/>
      </rPr>
      <t xml:space="preserve">月初</t>
    </r>
  </si>
  <si>
    <t xml:space="preserve">前五大終端客戶佔 Q3 營收 55%</t>
  </si>
  <si>
    <t xml:space="preserve">TSM</t>
  </si>
  <si>
    <t xml:space="preserve">台積電 2330</t>
  </si>
  <si>
    <t xml:space="preserve">台股</t>
  </si>
  <si>
    <t xml:space="preserve">晶圓代工與先進封裝</t>
  </si>
  <si>
    <t xml:space="preserve">未評</t>
  </si>
  <si>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月</t>
    </r>
  </si>
  <si>
    <t xml:space="preserve">MRVL</t>
  </si>
  <si>
    <t xml:space="preserve">Marvell</t>
  </si>
  <si>
    <t xml:space="preserve">資料中心晶片與光連接</t>
  </si>
  <si>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月底</t>
    </r>
  </si>
  <si>
    <t xml:space="preserve">揭露的是整個資料中心部門，不全是 AI</t>
  </si>
  <si>
    <t xml:space="preserve">LITE</t>
  </si>
  <si>
    <t xml:space="preserve">Lumentum</t>
  </si>
  <si>
    <t xml:space="preserve">光元件與系統</t>
  </si>
  <si>
    <r>
      <rPr>
        <sz val="11"/>
        <rFont val="Arial"/>
        <family val="0"/>
        <charset val="1"/>
      </rPr>
      <t xml:space="preserve">6 </t>
    </r>
    <r>
      <rPr>
        <sz val="11"/>
        <rFont val="Noto Sans CJK SC"/>
        <family val="2"/>
      </rPr>
      <t xml:space="preserve">月</t>
    </r>
  </si>
  <si>
    <t xml:space="preserve">COHR</t>
  </si>
  <si>
    <t xml:space="preserve">Coherent</t>
  </si>
  <si>
    <t xml:space="preserve">光通訊與光電</t>
  </si>
  <si>
    <t xml:space="preserve">ANET</t>
  </si>
  <si>
    <t xml:space="preserve">Arista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</si>
  <si>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</t>
    </r>
  </si>
  <si>
    <r>
      <rPr>
        <sz val="11"/>
        <rFont val="Arial"/>
        <family val="0"/>
        <charset val="1"/>
      </rPr>
      <t xml:space="preserve">97 </t>
    </r>
    <r>
      <rPr>
        <sz val="11"/>
        <rFont val="Noto Sans CJK SC"/>
        <family val="2"/>
      </rPr>
      <t xml:space="preserve">億採購承諾是對供應商，不是客戶訂單</t>
    </r>
  </si>
  <si>
    <t xml:space="preserve">VRT</t>
  </si>
  <si>
    <t xml:space="preserve">Vertiv</t>
  </si>
  <si>
    <t xml:space="preserve">電力與散熱</t>
  </si>
  <si>
    <t xml:space="preserve">ETN</t>
  </si>
  <si>
    <t xml:space="preserve">Eaton</t>
  </si>
  <si>
    <t xml:space="preserve">電力管理</t>
  </si>
  <si>
    <t xml:space="preserve">終端較分散</t>
  </si>
  <si>
    <t xml:space="preserve">APH</t>
  </si>
  <si>
    <t xml:space="preserve">Amphenol</t>
  </si>
  <si>
    <t xml:space="preserve">連接器與線纜</t>
  </si>
  <si>
    <t xml:space="preserve">6857</t>
  </si>
  <si>
    <t xml:space="preserve">Advantest</t>
  </si>
  <si>
    <t xml:space="preserve">日股</t>
  </si>
  <si>
    <t xml:space="preserve">半導體測試</t>
  </si>
  <si>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月</t>
    </r>
  </si>
  <si>
    <t xml:space="preserve">PANW</t>
  </si>
  <si>
    <t xml:space="preserve">Palo Alto Networks</t>
  </si>
  <si>
    <t xml:space="preserve">資安</t>
  </si>
  <si>
    <r>
      <rPr>
        <sz val="11"/>
        <rFont val="Arial"/>
        <family val="0"/>
        <charset val="1"/>
      </rPr>
      <t xml:space="preserve">7 </t>
    </r>
    <r>
      <rPr>
        <sz val="11"/>
        <rFont val="Noto Sans CJK SC"/>
        <family val="2"/>
      </rPr>
      <t xml:space="preserve">月</t>
    </r>
  </si>
  <si>
    <t xml:space="preserve">GEV</t>
  </si>
  <si>
    <t xml:space="preserve">GE Vernova</t>
  </si>
  <si>
    <t xml:space="preserve">發電與電網</t>
  </si>
  <si>
    <t xml:space="preserve">2408</t>
  </si>
  <si>
    <t xml:space="preserve">南亞科</t>
  </si>
  <si>
    <t xml:space="preserve">2344</t>
  </si>
  <si>
    <t xml:space="preserve">華邦電</t>
  </si>
  <si>
    <t xml:space="preserve">3081</t>
  </si>
  <si>
    <t xml:space="preserve">聯亞</t>
  </si>
  <si>
    <t xml:space="preserve">磷化銦磊晶與雷射</t>
  </si>
  <si>
    <t xml:space="preserve">B</t>
  </si>
  <si>
    <t xml:space="preserve">公司稱矽光子需求強，未給分項數字</t>
  </si>
  <si>
    <t xml:space="preserve">6274</t>
  </si>
  <si>
    <t xml:space="preserve">台燿</t>
  </si>
  <si>
    <t xml:space="preserve">高速銅箔基板</t>
  </si>
  <si>
    <t xml:space="preserve">C</t>
  </si>
  <si>
    <t xml:space="preserve">不是光通訊股</t>
  </si>
  <si>
    <t xml:space="preserve">3017</t>
  </si>
  <si>
    <t xml:space="preserve">奇鋐</t>
  </si>
  <si>
    <t xml:space="preserve">散熱</t>
  </si>
  <si>
    <t xml:space="preserve">3324</t>
  </si>
  <si>
    <t xml:space="preserve">雙鴻</t>
  </si>
  <si>
    <t xml:space="preserve">公司稱液冷佔營收過半</t>
  </si>
  <si>
    <t xml:space="preserve">3363</t>
  </si>
  <si>
    <t xml:space="preserve">上詮</t>
  </si>
  <si>
    <t xml:space="preserve">光纖與 FAU</t>
  </si>
  <si>
    <t xml:space="preserve">第二層</t>
  </si>
  <si>
    <t xml:space="preserve">D</t>
  </si>
  <si>
    <t xml:space="preserve">上半年每股虧損 1.18 元</t>
  </si>
  <si>
    <t xml:space="preserve">3008</t>
  </si>
  <si>
    <t xml:space="preserve">大立光</t>
  </si>
  <si>
    <t xml:space="preserve">光學鏡頭；FAU 為選擇權</t>
  </si>
  <si>
    <t xml:space="preserve">第三層</t>
  </si>
  <si>
    <r>
      <rPr>
        <sz val="11"/>
        <rFont val="Arial"/>
        <family val="0"/>
        <charset val="1"/>
      </rPr>
      <t xml:space="preserve">FAU </t>
    </r>
    <r>
      <rPr>
        <sz val="11"/>
        <rFont val="Noto Sans CJK SC"/>
        <family val="2"/>
      </rPr>
      <t xml:space="preserve">最快 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年中（未查原文）</t>
    </r>
  </si>
  <si>
    <t xml:space="preserve">9069</t>
  </si>
  <si>
    <t xml:space="preserve">センコーグループHD</t>
  </si>
  <si>
    <t xml:space="preserve">物流</t>
  </si>
  <si>
    <t xml:space="preserve">不適用</t>
  </si>
  <si>
    <t xml:space="preserve">與光通訊 SENKO 無關，勿混淆</t>
  </si>
  <si>
    <t xml:space="preserve">期間</t>
  </si>
  <si>
    <t xml:space="preserve">期末日</t>
  </si>
  <si>
    <t xml:space="preserve">營收</t>
  </si>
  <si>
    <t xml:space="preserve">單位</t>
  </si>
  <si>
    <t xml:space="preserve">年增</t>
  </si>
  <si>
    <t xml:space="preserve">季增</t>
  </si>
  <si>
    <t xml:space="preserve">有機成長</t>
  </si>
  <si>
    <t xml:space="preserve">毛利率</t>
  </si>
  <si>
    <t xml:space="preserve">財測</t>
  </si>
  <si>
    <t xml:space="preserve">但書</t>
  </si>
  <si>
    <t xml:space="preserve">驗證狀態</t>
  </si>
  <si>
    <t xml:space="preserve">來源</t>
  </si>
  <si>
    <t xml:space="preserve">FY26 Q4</t>
  </si>
  <si>
    <t xml:space="preserve">億美元</t>
  </si>
  <si>
    <t xml:space="preserve">下季 615±15 億；毛利率約 86.25%</t>
  </si>
  <si>
    <t xml:space="preserve">位元出貨僅季增中個位數；毛利率財測低於市場預期 86.7%</t>
  </si>
  <si>
    <t xml:space="preserve">https://news.cnyes.com/news/id/6619198</t>
  </si>
  <si>
    <t xml:space="preserve">FY26 Q3</t>
  </si>
  <si>
    <r>
      <rPr>
        <sz val="11"/>
        <rFont val="Arial"/>
        <family val="0"/>
        <charset val="1"/>
      </rPr>
      <t xml:space="preserve">Q4 </t>
    </r>
    <r>
      <rPr>
        <sz val="11"/>
        <rFont val="Noto Sans CJK SC"/>
        <family val="2"/>
      </rPr>
      <t xml:space="preserve">營收約 </t>
    </r>
    <r>
      <rPr>
        <sz val="11"/>
        <rFont val="Arial"/>
        <family val="0"/>
        <charset val="1"/>
      </rPr>
      <t xml:space="preserve">348 </t>
    </r>
    <r>
      <rPr>
        <sz val="11"/>
        <rFont val="Noto Sans CJK SC"/>
        <family val="2"/>
      </rPr>
      <t xml:space="preserve">億；</t>
    </r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半導體 </t>
    </r>
    <r>
      <rPr>
        <sz val="11"/>
        <rFont val="Arial"/>
        <family val="0"/>
        <charset val="1"/>
      </rPr>
      <t xml:space="preserve">217 </t>
    </r>
    <r>
      <rPr>
        <sz val="11"/>
        <rFont val="Noto Sans CJK SC"/>
        <family val="2"/>
      </rPr>
      <t xml:space="preserve">億</t>
    </r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</si>
  <si>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半導體 </t>
    </r>
    <r>
      <rPr>
        <sz val="11"/>
        <rFont val="Arial"/>
        <family val="0"/>
        <charset val="1"/>
      </rPr>
      <t xml:space="preserve">167 </t>
    </r>
    <r>
      <rPr>
        <sz val="11"/>
        <rFont val="Noto Sans CJK SC"/>
        <family val="2"/>
      </rPr>
      <t xml:space="preserve">億年增 </t>
    </r>
    <r>
      <rPr>
        <sz val="11"/>
        <rFont val="Arial"/>
        <family val="0"/>
        <charset val="1"/>
      </rPr>
      <t xml:space="preserve">221%</t>
    </r>
    <r>
      <rPr>
        <sz val="11"/>
        <rFont val="Noto Sans CJK SC"/>
        <family val="2"/>
      </rPr>
      <t xml:space="preserve">；前五大終端客戶 </t>
    </r>
    <r>
      <rPr>
        <sz val="11"/>
        <rFont val="Arial"/>
        <family val="0"/>
        <charset val="1"/>
      </rPr>
      <t xml:space="preserve">55%</t>
    </r>
    <r>
      <rPr>
        <sz val="11"/>
        <rFont val="Noto Sans CJK SC"/>
        <family val="2"/>
      </rPr>
      <t xml:space="preserve">、單一經銷商 </t>
    </r>
    <r>
      <rPr>
        <sz val="11"/>
        <rFont val="Arial"/>
        <family val="0"/>
        <charset val="1"/>
      </rPr>
      <t xml:space="preserve">50%</t>
    </r>
  </si>
  <si>
    <t xml:space="preserve">https://investors.broadcom.com/static-files/96641754-401f-4090-a4ab-210728c83a28</t>
  </si>
  <si>
    <t xml:space="preserve">FY27 Q2</t>
  </si>
  <si>
    <t xml:space="preserve">投資人日 10/6 更新</t>
  </si>
  <si>
    <t xml:space="preserve">資料中心年增 46%；非 GAAP EPS 0.94、GAAP 0.33；毛利率為 GAAP</t>
  </si>
  <si>
    <t xml:space="preserve">https://www.sec.gov/Archives/edgar/data/0001835632/000183563226000022/q227_8kx812026ex-991.htm</t>
  </si>
  <si>
    <t xml:space="preserve">下季 12.25–12.75 億</t>
  </si>
  <si>
    <r>
      <rPr>
        <sz val="11"/>
        <rFont val="Arial"/>
        <family val="0"/>
        <charset val="1"/>
      </rPr>
      <t xml:space="preserve">GAAP </t>
    </r>
    <r>
      <rPr>
        <sz val="11"/>
        <rFont val="Noto Sans CJK SC"/>
        <family val="2"/>
      </rPr>
      <t xml:space="preserve">淨損 </t>
    </r>
    <r>
      <rPr>
        <sz val="11"/>
        <rFont val="Arial"/>
        <family val="0"/>
        <charset val="1"/>
      </rPr>
      <t xml:space="preserve">72 </t>
    </r>
    <r>
      <rPr>
        <sz val="11"/>
        <rFont val="Noto Sans CJK SC"/>
        <family val="2"/>
      </rPr>
      <t xml:space="preserve">億，來自可轉債轉換的一次性非現金損失；非 </t>
    </r>
    <r>
      <rPr>
        <sz val="11"/>
        <rFont val="Arial"/>
        <family val="0"/>
        <charset val="1"/>
      </rPr>
      <t xml:space="preserve">GAAP </t>
    </r>
    <r>
      <rPr>
        <sz val="11"/>
        <rFont val="Noto Sans CJK SC"/>
        <family val="2"/>
      </rPr>
      <t xml:space="preserve">毛利率 </t>
    </r>
    <r>
      <rPr>
        <sz val="11"/>
        <rFont val="Arial"/>
        <family val="0"/>
        <charset val="1"/>
      </rPr>
      <t xml:space="preserve">50.4%</t>
    </r>
  </si>
  <si>
    <t xml:space="preserve">https://investor.lumentum.com/financial-news-releases/news-details/2026/Lumentum-Announces-Fourth-Quarter-and-Full-Fiscal-Year-2026-Results/default.aspx</t>
  </si>
  <si>
    <t xml:space="preserve">擬制年增 42%；非 GAAP 毛利率 40.2%</t>
  </si>
  <si>
    <t xml:space="preserve">https://www.coherent.com/news/press-releases/fourth-quarter-and-fiscal-year-2026-results</t>
  </si>
  <si>
    <t xml:space="preserve">2026 Q2</t>
  </si>
  <si>
    <t xml:space="preserve">全年約 126 億（成長 40%）；Q3 約 33 億</t>
  </si>
  <si>
    <r>
      <rPr>
        <sz val="11"/>
        <rFont val="Arial"/>
        <family val="0"/>
        <charset val="1"/>
      </rPr>
      <t xml:space="preserve">97 </t>
    </r>
    <r>
      <rPr>
        <sz val="11"/>
        <rFont val="Noto Sans CJK SC"/>
        <family val="2"/>
      </rPr>
      <t xml:space="preserve">億不可取消採購承諾（</t>
    </r>
    <r>
      <rPr>
        <sz val="11"/>
        <rFont val="Arial"/>
        <family val="0"/>
        <charset val="1"/>
      </rPr>
      <t xml:space="preserve">94 </t>
    </r>
    <r>
      <rPr>
        <sz val="11"/>
        <rFont val="Noto Sans CJK SC"/>
        <family val="2"/>
      </rPr>
      <t xml:space="preserve">億 </t>
    </r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個月內收貨）；未來將認列營收 </t>
    </r>
    <r>
      <rPr>
        <sz val="11"/>
        <rFont val="Arial"/>
        <family val="0"/>
        <charset val="1"/>
      </rPr>
      <t xml:space="preserve">84 </t>
    </r>
    <r>
      <rPr>
        <sz val="11"/>
        <rFont val="Noto Sans CJK SC"/>
        <family val="2"/>
      </rPr>
      <t xml:space="preserve">億</t>
    </r>
  </si>
  <si>
    <t xml:space="preserve">https://www.sec.gov/Archives/edgar/data/1596532/000159653226000175/anet-20260630.htm</t>
  </si>
  <si>
    <t xml:space="preserve">全年有機成長 30–32%</t>
  </si>
  <si>
    <t xml:space="preserve">歐非中東有機衰退 2%；併購貢獻 5 個百分點</t>
  </si>
  <si>
    <t xml:space="preserve">https://investors.vertiv.com/news/news-details/2026/Vertiv-Reports-Strong-Second-Quarter-2026-with-Diluted-EPS-Growth-of-53-Adjusted-Diluted-EPS-Growth-of-60-Raises-Full-Year-2026-Guidance-Across-All-Key-Metrics/default.aspx</t>
  </si>
  <si>
    <t xml:space="preserve">上修全年有機成長</t>
  </si>
  <si>
    <t xml:space="preserve">訂單增 41% 是 12 個月滾動；美洲電氣利益率 29.5%→27.5%</t>
  </si>
  <si>
    <t xml:space="preserve">https://www.businesswire.com/news/home/20260730561562/en/Eaton-Reports-Record-Second-Quarter-2026-Results-with-Strong-Organic-Growth-Accelerating-Orders-and-Backlog-and-Raises-Organic-Growth-Guidance</t>
  </si>
  <si>
    <r>
      <rPr>
        <sz val="11"/>
        <rFont val="Arial"/>
        <family val="0"/>
        <charset val="1"/>
      </rPr>
      <t xml:space="preserve">Q3 93–94 </t>
    </r>
    <r>
      <rPr>
        <sz val="11"/>
        <rFont val="Noto Sans CJK SC"/>
        <family val="2"/>
      </rPr>
      <t xml:space="preserve">億</t>
    </r>
  </si>
  <si>
    <t xml:space="preserve">併購貢獻 24 個百分點；訂單 107 億、訂單出貨比 1.23</t>
  </si>
  <si>
    <t xml:space="preserve">https://www.sec.gov/Archives/edgar/data/0000820313/000110465926087904/aph-20260729xex99d1.htm</t>
  </si>
  <si>
    <t xml:space="preserve">FY26 Q1</t>
  </si>
  <si>
    <t xml:space="preserve">億日圓</t>
  </si>
  <si>
    <t xml:space="preserve">全年營業利益 8,460 億日圓</t>
  </si>
  <si>
    <t xml:space="preserve">淨利含約 447 億日圓金融收益</t>
  </si>
  <si>
    <t xml:space="preserve">https://www.advantest.com/document/en/investors/ir-library/result/E_FR_FY2026_1Q.pdf</t>
  </si>
  <si>
    <t xml:space="preserve">新年度營收 141–142 億（成長 23–24%）</t>
  </si>
  <si>
    <t xml:space="preserve">當季 GAAP 淨損 2.82 億；成長含併購</t>
  </si>
  <si>
    <t xml:space="preserve">https://investors.paloaltonetworks.com/news-releases/news-release-details/palo-alto-networks-reports-fiscal-fourth-quarter-and-fiscal-10</t>
  </si>
  <si>
    <t xml:space="preserve">上修全年財測</t>
  </si>
  <si>
    <t xml:space="preserve">訂單 242 億有機增 88%；風電訂單有機衰退 40%；淨利率 5.8%</t>
  </si>
  <si>
    <t xml:space="preserve">https://www.gevernova.com/sites/default/files/gev_webcast_pressrelease_07222026.pdf</t>
  </si>
  <si>
    <t xml:space="preserve">月份</t>
  </si>
  <si>
    <t xml:space="preserve">營收（億元）</t>
  </si>
  <si>
    <t xml:space="preserve">月增</t>
  </si>
  <si>
    <t xml:space="preserve">累計年增</t>
  </si>
  <si>
    <t xml:space="preserve">2330</t>
  </si>
  <si>
    <t xml:space="preserve">台積電</t>
  </si>
  <si>
    <t xml:space="preserve">2026-08</t>
  </si>
  <si>
    <t xml:space="preserve">公告日股價 2,450 元（快變）</t>
  </si>
  <si>
    <t xml:space="preserve">https://news.cnyes.com/news/id/6603050</t>
  </si>
  <si>
    <t xml:space="preserve">新合約 7 月生效，月增停滯屬階梯式調價</t>
  </si>
  <si>
    <t xml:space="preserve">https://news.ustv.com.tw/newsdetail/20260902A001020</t>
  </si>
  <si>
    <t xml:space="preserve">https://udn.com/news/story/7252/9741093</t>
  </si>
  <si>
    <t xml:space="preserve">公告日股價 3,170 元（快變）</t>
  </si>
  <si>
    <t xml:space="preserve">https://news.cnyes.com/news/id/6597602</t>
  </si>
  <si>
    <t xml:space="preserve">月增幾乎為零</t>
  </si>
  <si>
    <t xml:space="preserve">https://m.cnyes.com/news/id/6597745</t>
  </si>
  <si>
    <t xml:space="preserve">https://news.cnyes.com/news/id/6600144</t>
  </si>
  <si>
    <t xml:space="preserve">被列處置股</t>
  </si>
  <si>
    <t xml:space="preserve">https://www.ctee.com.tw/news/20260908701262-430502</t>
  </si>
  <si>
    <r>
      <rPr>
        <sz val="11"/>
        <rFont val="Arial"/>
        <family val="0"/>
        <charset val="1"/>
      </rPr>
      <t xml:space="preserve">FAU </t>
    </r>
    <r>
      <rPr>
        <sz val="11"/>
        <rFont val="Noto Sans CJK SC"/>
        <family val="2"/>
      </rPr>
      <t xml:space="preserve">第三季僅微量貢獻</t>
    </r>
  </si>
  <si>
    <t xml:space="preserve">https://www.chinatimes.com/realtimenews/20260905002223-260410</t>
  </si>
  <si>
    <t xml:space="preserve">2026-09</t>
  </si>
  <si>
    <r>
      <rPr>
        <sz val="11"/>
        <rFont val="Arial"/>
        <family val="0"/>
        <charset val="1"/>
      </rPr>
      <t xml:space="preserve">10/8 13:30 </t>
    </r>
    <r>
      <rPr>
        <sz val="11"/>
        <rFont val="Noto Sans CJK SC"/>
        <family val="2"/>
      </rPr>
      <t xml:space="preserve">公布；高於 </t>
    </r>
    <r>
      <rPr>
        <sz val="11"/>
        <rFont val="Arial"/>
        <family val="0"/>
        <charset val="1"/>
      </rPr>
      <t xml:space="preserve">4,448 </t>
    </r>
    <r>
      <rPr>
        <sz val="11"/>
        <rFont val="Noto Sans CJK SC"/>
        <family val="2"/>
      </rPr>
      <t xml:space="preserve">億即達 </t>
    </r>
    <r>
      <rPr>
        <sz val="11"/>
        <rFont val="Arial"/>
        <family val="0"/>
        <charset val="1"/>
      </rPr>
      <t xml:space="preserve">Q3 </t>
    </r>
    <r>
      <rPr>
        <sz val="11"/>
        <rFont val="Noto Sans CJK SC"/>
        <family val="2"/>
      </rPr>
      <t xml:space="preserve">財測低標</t>
    </r>
  </si>
  <si>
    <t xml:space="preserve">https://investor.tsmc.com/english/financial-calendar</t>
  </si>
  <si>
    <t xml:space="preserve">全部屬於快變資料，每次判斷前重抓。填入股價與每股盈餘後，本益比自動計算。</t>
  </si>
  <si>
    <t xml:space="preserve">抓取日</t>
  </si>
  <si>
    <t xml:space="preserve">股價</t>
  </si>
  <si>
    <t xml:space="preserve">未來 12 個月每股盈餘</t>
  </si>
  <si>
    <t xml:space="preserve">本益比（公式）</t>
  </si>
  <si>
    <t xml:space="preserve">歷史分位</t>
  </si>
  <si>
    <t xml:space="preserve">股價為財報前新聞數字，已過期；曾以下季財測年化回推約 6–7 倍</t>
  </si>
  <si>
    <t xml:space="preserve">主線</t>
  </si>
  <si>
    <t xml:space="preserve">指標</t>
  </si>
  <si>
    <t xml:space="preserve">資料日期</t>
  </si>
  <si>
    <t xml:space="preserve">數值</t>
  </si>
  <si>
    <t xml:space="preserve">主張類型</t>
  </si>
  <si>
    <t xml:space="preserve">總經</t>
  </si>
  <si>
    <t xml:space="preserve">聯邦基金利率目標區間</t>
  </si>
  <si>
    <t xml:space="preserve">3.75%–4.00%</t>
  </si>
  <si>
    <t xml:space="preserve">實績</t>
  </si>
  <si>
    <r>
      <rPr>
        <sz val="11"/>
        <rFont val="Arial"/>
        <family val="0"/>
        <charset val="1"/>
      </rPr>
      <t xml:space="preserve">12:0 </t>
    </r>
    <r>
      <rPr>
        <sz val="11"/>
        <rFont val="Noto Sans CJK SC"/>
        <family val="2"/>
      </rPr>
      <t xml:space="preserve">通過升一碼</t>
    </r>
  </si>
  <si>
    <t xml:space="preserve">https://www.foxbusiness.com/economy/federal-reserve-interest-rate-decision-september-16-2026</t>
  </si>
  <si>
    <t xml:space="preserve">點陣圖 2026 年底中位數</t>
  </si>
  <si>
    <r>
      <rPr>
        <sz val="11"/>
        <rFont val="Arial"/>
        <family val="0"/>
        <charset val="1"/>
      </rPr>
      <t xml:space="preserve">4.1%</t>
    </r>
    <r>
      <rPr>
        <sz val="11"/>
        <rFont val="Noto Sans CJK SC"/>
        <family val="2"/>
      </rPr>
      <t xml:space="preserve">（</t>
    </r>
    <r>
      <rPr>
        <sz val="11"/>
        <rFont val="Arial"/>
        <family val="0"/>
        <charset val="1"/>
      </rPr>
      <t xml:space="preserve">18 </t>
    </r>
    <r>
      <rPr>
        <sz val="11"/>
        <rFont val="Noto Sans CJK SC"/>
        <family val="2"/>
      </rPr>
      <t xml:space="preserve">人中 </t>
    </r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人在 </t>
    </r>
    <r>
      <rPr>
        <sz val="11"/>
        <rFont val="Arial"/>
        <family val="0"/>
        <charset val="1"/>
      </rPr>
      <t xml:space="preserve">4.125%</t>
    </r>
    <r>
      <rPr>
        <sz val="11"/>
        <rFont val="Noto Sans CJK SC"/>
        <family val="2"/>
      </rPr>
      <t xml:space="preserve">）</t>
    </r>
  </si>
  <si>
    <t xml:space="preserve">第三方估計</t>
  </si>
  <si>
    <t xml:space="preserve">與會者預測，不是承諾</t>
  </si>
  <si>
    <t xml:space="preserve">https://www.federalreserve.gov/monetarypolicy/fomcprojtabl20260916.htm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</si>
  <si>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月非農新增／失業率</t>
    </r>
  </si>
  <si>
    <r>
      <rPr>
        <sz val="11"/>
        <rFont val="Arial"/>
        <family val="0"/>
        <charset val="1"/>
      </rPr>
      <t xml:space="preserve">2.9 </t>
    </r>
    <r>
      <rPr>
        <sz val="11"/>
        <rFont val="Noto Sans CJK SC"/>
        <family val="2"/>
      </rPr>
      <t xml:space="preserve">萬人／</t>
    </r>
    <r>
      <rPr>
        <sz val="11"/>
        <rFont val="Arial"/>
        <family val="0"/>
        <charset val="1"/>
      </rPr>
      <t xml:space="preserve">4.2%</t>
    </r>
  </si>
  <si>
    <t xml:space="preserve">https://www.bls.gov/news.release/empsit.htm</t>
  </si>
  <si>
    <r>
      <rPr>
        <sz val="11"/>
        <rFont val="Arial"/>
        <family val="0"/>
        <charset val="1"/>
      </rPr>
      <t xml:space="preserve">DRAM+NAND </t>
    </r>
    <r>
      <rPr>
        <sz val="11"/>
        <rFont val="Noto Sans CJK SC"/>
        <family val="2"/>
      </rPr>
      <t xml:space="preserve">佔雲端業者資本支出</t>
    </r>
  </si>
  <si>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Arial"/>
        <family val="0"/>
        <charset val="1"/>
      </rPr>
      <t xml:space="preserve">47%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Arial"/>
        <family val="0"/>
        <charset val="1"/>
      </rPr>
      <t xml:space="preserve">68%</t>
    </r>
  </si>
  <si>
    <r>
      <rPr>
        <sz val="11"/>
        <rFont val="Arial"/>
        <family val="0"/>
        <charset val="1"/>
      </rPr>
      <t xml:space="preserve">TrendForce </t>
    </r>
    <r>
      <rPr>
        <sz val="11"/>
        <rFont val="Noto Sans CJK SC"/>
        <family val="2"/>
      </rPr>
      <t xml:space="preserve">模型，非客戶預算</t>
    </r>
  </si>
  <si>
    <t xml:space="preserve">https://www.trendforce.com/presscenter/news/20260825-13198.html</t>
  </si>
  <si>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混合均價年增</t>
    </r>
  </si>
  <si>
    <t xml:space="preserve">121%</t>
  </si>
  <si>
    <t xml:space="preserve">https://www.trendforce.com/presscenter/news/20260929-13255.html</t>
  </si>
  <si>
    <t xml:space="preserve">輝達 Rubin Ultra 記憶體配置</t>
  </si>
  <si>
    <t xml:space="preserve">評估降到 8 層、192GB</t>
  </si>
  <si>
    <t xml:space="preserve">主因是供給不足與驗證不確定，不是需求轉弱</t>
  </si>
  <si>
    <t xml:space="preserve">https://aiweekly.co/alerts/nvidia-tests-lower-memory-rubin-ultra-variants-amid-hbm-squeeze</t>
  </si>
  <si>
    <t xml:space="preserve">儲存</t>
  </si>
  <si>
    <t xml:space="preserve">企業級 SSD 前五大營收</t>
  </si>
  <si>
    <r>
      <rPr>
        <sz val="11"/>
        <rFont val="Arial"/>
        <family val="0"/>
        <charset val="1"/>
      </rPr>
      <t xml:space="preserve">2026Q2 375.9 </t>
    </r>
    <r>
      <rPr>
        <sz val="11"/>
        <rFont val="Noto Sans CJK SC"/>
        <family val="2"/>
      </rPr>
      <t xml:space="preserve">億美元，季增 </t>
    </r>
    <r>
      <rPr>
        <sz val="11"/>
        <rFont val="Arial"/>
        <family val="0"/>
        <charset val="1"/>
      </rPr>
      <t xml:space="preserve">103.6%</t>
    </r>
  </si>
  <si>
    <t xml:space="preserve">https://www.trendforce.com/presscenter/news/20260901-13210.html</t>
  </si>
  <si>
    <t xml:space="preserve">被動元件</t>
  </si>
  <si>
    <t xml:space="preserve">三星電機第四季調價</t>
  </si>
  <si>
    <r>
      <rPr>
        <sz val="11"/>
        <rFont val="Arial"/>
        <family val="0"/>
        <charset val="1"/>
      </rPr>
      <t xml:space="preserve">X5R </t>
    </r>
    <r>
      <rPr>
        <sz val="11"/>
        <rFont val="Noto Sans CJK SC"/>
        <family val="2"/>
      </rPr>
      <t xml:space="preserve">漲 </t>
    </r>
    <r>
      <rPr>
        <sz val="11"/>
        <rFont val="Arial"/>
        <family val="0"/>
        <charset val="1"/>
      </rPr>
      <t xml:space="preserve">25–30%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X6S </t>
    </r>
    <r>
      <rPr>
        <sz val="11"/>
        <rFont val="Noto Sans CJK SC"/>
        <family val="2"/>
      </rPr>
      <t xml:space="preserve">漲 </t>
    </r>
    <r>
      <rPr>
        <sz val="11"/>
        <rFont val="Arial"/>
        <family val="0"/>
        <charset val="1"/>
      </rPr>
      <t xml:space="preserve">10–20%</t>
    </r>
  </si>
  <si>
    <t xml:space="preserve">消費級現貨價 9 月已回落</t>
  </si>
  <si>
    <t xml:space="preserve">https://www.trendforce.com/presscenter/news/20260827-13202.html</t>
  </si>
  <si>
    <t xml:space="preserve">運算</t>
  </si>
  <si>
    <t xml:space="preserve">代理式 AI 的 CPU 對 GPU 比例</t>
  </si>
  <si>
    <t xml:space="preserve">由 1:4–1:8 走向 1:1–1:2</t>
  </si>
  <si>
    <t xml:space="preserve">https://insights.trendforce.com/p/agentic-ai-cpu-gpu</t>
  </si>
  <si>
    <t xml:space="preserve">應用</t>
  </si>
  <si>
    <r>
      <rPr>
        <sz val="11"/>
        <rFont val="Arial"/>
        <family val="0"/>
        <charset val="1"/>
      </rPr>
      <t xml:space="preserve">Meta Muse </t>
    </r>
    <r>
      <rPr>
        <sz val="11"/>
        <rFont val="Noto Sans CJK SC"/>
        <family val="2"/>
      </rPr>
      <t xml:space="preserve">美國下載量</t>
    </r>
  </si>
  <si>
    <r>
      <rPr>
        <sz val="11"/>
        <rFont val="Arial"/>
        <family val="0"/>
        <charset val="1"/>
      </rPr>
      <t xml:space="preserve">22 </t>
    </r>
    <r>
      <rPr>
        <sz val="11"/>
        <rFont val="Noto Sans CJK SC"/>
        <family val="2"/>
      </rPr>
      <t xml:space="preserve">天約 </t>
    </r>
    <r>
      <rPr>
        <sz val="11"/>
        <rFont val="Arial"/>
        <family val="0"/>
        <charset val="1"/>
      </rPr>
      <t xml:space="preserve">500 </t>
    </r>
    <r>
      <rPr>
        <sz val="11"/>
        <rFont val="Noto Sans CJK SC"/>
        <family val="2"/>
      </rPr>
      <t xml:space="preserve">萬</t>
    </r>
  </si>
  <si>
    <r>
      <rPr>
        <sz val="11"/>
        <rFont val="Arial"/>
        <family val="0"/>
        <charset val="1"/>
      </rPr>
      <t xml:space="preserve">Sensor Tower </t>
    </r>
    <r>
      <rPr>
        <sz val="11"/>
        <rFont val="Noto Sans CJK SC"/>
        <family val="2"/>
      </rPr>
      <t xml:space="preserve">估計；</t>
    </r>
    <r>
      <rPr>
        <sz val="11"/>
        <rFont val="Arial"/>
        <family val="0"/>
        <charset val="1"/>
      </rPr>
      <t xml:space="preserve">Meta </t>
    </r>
    <r>
      <rPr>
        <sz val="11"/>
        <rFont val="Noto Sans CJK SC"/>
        <family val="2"/>
      </rPr>
      <t xml:space="preserve">未公布</t>
    </r>
  </si>
  <si>
    <t xml:space="preserve">https://www.forbes.com/sites/maryroeloffs/2026/09/30/metas-muse-ai-assistant-hits-5-million-downloads-outpacing-growth-of-chatgpt-grok-and-claude/</t>
  </si>
  <si>
    <t xml:space="preserve">日期</t>
  </si>
  <si>
    <t xml:space="preserve">距基準日天數</t>
  </si>
  <si>
    <t xml:space="preserve">事件</t>
  </si>
  <si>
    <t xml:space="preserve">事前共識</t>
  </si>
  <si>
    <t xml:space="preserve">實際結果</t>
  </si>
  <si>
    <t xml:space="preserve">個股 1 日漲跌</t>
  </si>
  <si>
    <t xml:space="preserve">同類指數 1 日漲跌</t>
  </si>
  <si>
    <t xml:space="preserve">超額漲跌（公式）</t>
  </si>
  <si>
    <t xml:space="preserve">觀察重點／結論</t>
  </si>
  <si>
    <t xml:space="preserve">美光 FY26 Q4 財報</t>
  </si>
  <si>
    <t xml:space="preserve">營收共識 510.7 億</t>
  </si>
  <si>
    <t xml:space="preserve">營收 542.3 億；財測 615 億</t>
  </si>
  <si>
    <t xml:space="preserve">結果優於共識但股價無反應</t>
  </si>
  <si>
    <r>
      <rPr>
        <sz val="11"/>
        <rFont val="Arial"/>
        <family val="0"/>
        <charset val="1"/>
      </rPr>
      <t xml:space="preserve">Marvell </t>
    </r>
    <r>
      <rPr>
        <sz val="11"/>
        <rFont val="Noto Sans CJK SC"/>
        <family val="2"/>
      </rPr>
      <t xml:space="preserve">投資人日（美東 </t>
    </r>
    <r>
      <rPr>
        <sz val="11"/>
        <rFont val="Arial"/>
        <family val="0"/>
        <charset val="1"/>
      </rPr>
      <t xml:space="preserve">9:00 </t>
    </r>
    <r>
      <rPr>
        <sz val="11"/>
        <rFont val="Noto Sans CJK SC"/>
        <family val="2"/>
      </rPr>
      <t xml:space="preserve">直播）</t>
    </r>
  </si>
  <si>
    <t xml:space="preserve">長期營收目標是否上修；跌幅是否大於半導體指數</t>
  </si>
  <si>
    <t xml:space="preserve">https://www.marvell.com/company/events.html</t>
  </si>
  <si>
    <t xml:space="preserve">台積電 9 月營收（13:30）</t>
  </si>
  <si>
    <t xml:space="preserve">是否高於 4,448 億</t>
  </si>
  <si>
    <t xml:space="preserve">台股 9 月營收截止</t>
  </si>
  <si>
    <t xml:space="preserve">聯亞、全新、台燿、奇鋐、雙鴻、上詮是否延續</t>
  </si>
  <si>
    <t xml:space="preserve">蘋果智慧家居發表</t>
  </si>
  <si>
    <t xml:space="preserve">傳聞</t>
  </si>
  <si>
    <t xml:space="preserve">是否真的發表</t>
  </si>
  <si>
    <t xml:space="preserve">https://www.iclarified.com/102501/apple-targets-october-13-for-smart-home-hub-new-homepod-mini-and-apple-tv-gurman</t>
  </si>
  <si>
    <t xml:space="preserve">台積電 Q3 法說（14:00）</t>
  </si>
  <si>
    <t xml:space="preserve">資本支出與 2027 年展望</t>
  </si>
  <si>
    <r>
      <rPr>
        <sz val="11"/>
        <rFont val="Arial"/>
        <family val="0"/>
        <charset val="1"/>
      </rPr>
      <t xml:space="preserve">iPhone Duo </t>
    </r>
    <r>
      <rPr>
        <sz val="11"/>
        <rFont val="Noto Sans CJK SC"/>
        <family val="2"/>
      </rPr>
      <t xml:space="preserve">預購</t>
    </r>
  </si>
  <si>
    <t xml:space="preserve">預購數字是否公布</t>
  </si>
  <si>
    <t xml:space="preserve">https://www.apple.com/newsroom/2026/09/apple-unveils-iphone-duo/</t>
  </si>
  <si>
    <t xml:space="preserve">聯準會決議（10/27–28）</t>
  </si>
  <si>
    <t xml:space="preserve">是否暫停升息</t>
  </si>
  <si>
    <t xml:space="preserve">四大雲端業者財報週結束</t>
  </si>
  <si>
    <t xml:space="preserve">合計 2027 年資本支出方向</t>
  </si>
  <si>
    <t xml:space="preserve">台積電與台股 10 月營收</t>
  </si>
  <si>
    <t xml:space="preserve">南亞科、華邦電是否再上一階</t>
  </si>
  <si>
    <t xml:space="preserve">主張編號</t>
  </si>
  <si>
    <t xml:space="preserve">對象</t>
  </si>
  <si>
    <t xml:space="preserve">來源等級</t>
  </si>
  <si>
    <t xml:space="preserve">—</t>
  </si>
  <si>
    <t xml:space="preserve">來源日期</t>
  </si>
  <si>
    <t xml:space="preserve">查閱日期</t>
  </si>
  <si>
    <t xml:space="preserve">更新觸發</t>
  </si>
  <si>
    <t xml:space="preserve">來源網址</t>
  </si>
  <si>
    <t xml:space="preserve">下一季財報</t>
  </si>
  <si>
    <t xml:space="preserve">營收年增</t>
  </si>
  <si>
    <t xml:space="preserve">比率</t>
  </si>
  <si>
    <t xml:space="preserve">文字</t>
  </si>
  <si>
    <t xml:space="preserve">公司預估，非實績</t>
  </si>
  <si>
    <t xml:space="preserve">月營收</t>
  </si>
  <si>
    <t xml:space="preserve">億元</t>
  </si>
  <si>
    <t xml:space="preserve">每月 10 日</t>
  </si>
  <si>
    <t xml:space="preserve">月營收年增</t>
  </si>
  <si>
    <t xml:space="preserve">前五大終端客戶佔營收</t>
  </si>
  <si>
    <t xml:space="preserve">前三季 50%；與經銷商集中度是不同概念</t>
  </si>
  <si>
    <t xml:space="preserve">下一季 10-Q</t>
  </si>
  <si>
    <t xml:space="preserve">單一經銷商佔營收</t>
  </si>
  <si>
    <t xml:space="preserve">前三季 46%</t>
  </si>
  <si>
    <t xml:space="preserve">不可取消採購承諾</t>
  </si>
  <si>
    <t xml:space="preserve">2026-06-30</t>
  </si>
  <si>
    <t xml:space="preserve">公司對代工廠的義務；94 億預計 12 個月內收貨</t>
  </si>
  <si>
    <t xml:space="preserve">未來將認列營收</t>
  </si>
  <si>
    <t xml:space="preserve">來自客戶合約；91% 預計兩年內認列</t>
  </si>
  <si>
    <t xml:space="preserve">需求預測錯誤的風險文字</t>
  </si>
  <si>
    <t xml:space="preserve">評語引述，未在原件抓到</t>
  </si>
  <si>
    <t xml:space="preserve">重讀 10-Q 風險因素</t>
  </si>
  <si>
    <t xml:space="preserve">2026-09-16</t>
  </si>
  <si>
    <t xml:space="preserve">有新資料時</t>
  </si>
  <si>
    <t xml:space="preserve">2026-10-02</t>
  </si>
  <si>
    <t xml:space="preserve">2026-08-25</t>
  </si>
  <si>
    <t xml:space="preserve">2026-09-29</t>
  </si>
  <si>
    <t xml:space="preserve">2026-08-04</t>
  </si>
  <si>
    <t xml:space="preserve">2026-09-01</t>
  </si>
  <si>
    <t xml:space="preserve">2026-08-27</t>
  </si>
  <si>
    <t xml:space="preserve">2026-04-24</t>
  </si>
  <si>
    <t xml:space="preserve">2026-09-30</t>
  </si>
  <si>
    <t xml:space="preserve">蘋果</t>
  </si>
  <si>
    <r>
      <rPr>
        <sz val="11"/>
        <rFont val="Arial"/>
        <family val="0"/>
        <charset val="1"/>
      </rPr>
      <t xml:space="preserve">iPhone Duo </t>
    </r>
    <r>
      <rPr>
        <sz val="11"/>
        <rFont val="Noto Sans CJK SC"/>
        <family val="2"/>
      </rPr>
      <t xml:space="preserve">預購與開賣</t>
    </r>
  </si>
  <si>
    <t xml:space="preserve">2026-10</t>
  </si>
  <si>
    <r>
      <rPr>
        <sz val="11"/>
        <rFont val="Arial"/>
        <family val="0"/>
        <charset val="1"/>
      </rPr>
      <t xml:space="preserve">10/16 </t>
    </r>
    <r>
      <rPr>
        <sz val="11"/>
        <rFont val="Noto Sans CJK SC"/>
        <family val="2"/>
      </rPr>
      <t xml:space="preserve">預購、</t>
    </r>
    <r>
      <rPr>
        <sz val="11"/>
        <rFont val="Arial"/>
        <family val="0"/>
        <charset val="1"/>
      </rPr>
      <t xml:space="preserve">10/23 </t>
    </r>
    <r>
      <rPr>
        <sz val="11"/>
        <rFont val="Noto Sans CJK SC"/>
        <family val="2"/>
      </rPr>
      <t xml:space="preserve">開賣、起價 </t>
    </r>
    <r>
      <rPr>
        <sz val="11"/>
        <rFont val="Arial"/>
        <family val="0"/>
        <charset val="1"/>
      </rPr>
      <t xml:space="preserve">1,999 </t>
    </r>
    <r>
      <rPr>
        <sz val="11"/>
        <rFont val="Noto Sans CJK SC"/>
        <family val="2"/>
      </rPr>
      <t xml:space="preserve">美元</t>
    </r>
  </si>
  <si>
    <t xml:space="preserve">不需更新</t>
  </si>
  <si>
    <t xml:space="preserve">智慧家居 10/13 發表</t>
  </si>
  <si>
    <r>
      <rPr>
        <sz val="11"/>
        <rFont val="Arial"/>
        <family val="0"/>
        <charset val="1"/>
      </rPr>
      <t xml:space="preserve">Gurman </t>
    </r>
    <r>
      <rPr>
        <sz val="11"/>
        <rFont val="Noto Sans CJK SC"/>
        <family val="2"/>
      </rPr>
      <t xml:space="preserve">報導</t>
    </r>
  </si>
  <si>
    <t xml:space="preserve">蘋果未證實</t>
  </si>
  <si>
    <t xml:space="preserve">10/13</t>
  </si>
  <si>
    <t xml:space="preserve">OpenAI</t>
  </si>
  <si>
    <r>
      <rPr>
        <sz val="11"/>
        <rFont val="Arial"/>
        <family val="0"/>
        <charset val="1"/>
      </rPr>
      <t xml:space="preserve">Dots </t>
    </r>
    <r>
      <rPr>
        <sz val="11"/>
        <rFont val="Noto Sans CJK SC"/>
        <family val="2"/>
      </rPr>
      <t xml:space="preserve">可用方案</t>
    </r>
  </si>
  <si>
    <r>
      <rPr>
        <sz val="11"/>
        <rFont val="Arial"/>
        <family val="0"/>
        <charset val="1"/>
      </rPr>
      <t xml:space="preserve">Pro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Business Premium </t>
    </r>
    <r>
      <rPr>
        <sz val="11"/>
        <rFont val="Noto Sans CJK SC"/>
        <family val="2"/>
      </rPr>
      <t xml:space="preserve">可用；</t>
    </r>
    <r>
      <rPr>
        <sz val="11"/>
        <rFont val="Arial"/>
        <family val="0"/>
        <charset val="1"/>
      </rPr>
      <t xml:space="preserve">Enterprise</t>
    </r>
    <r>
      <rPr>
        <sz val="11"/>
        <rFont val="Noto Sans CJK SC"/>
        <family val="2"/>
      </rPr>
      <t xml:space="preserve">（含 </t>
    </r>
    <r>
      <rPr>
        <sz val="11"/>
        <rFont val="Arial"/>
        <family val="0"/>
        <charset val="1"/>
      </rPr>
      <t xml:space="preserve">Edu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Healthcare</t>
    </r>
    <r>
      <rPr>
        <sz val="11"/>
        <rFont val="Noto Sans CJK SC"/>
        <family val="2"/>
      </rPr>
      <t xml:space="preserve">）為需管理員開啟的測試版</t>
    </r>
  </si>
  <si>
    <t xml:space="preserve">方案變動時</t>
  </si>
  <si>
    <t xml:space="preserve">https://openai.com/index/introducing-dots/</t>
  </si>
  <si>
    <t xml:space="preserve">投資人日直播時間</t>
  </si>
  <si>
    <t xml:space="preserve">2026-10-06</t>
  </si>
  <si>
    <t xml:space="preserve">美東 9:00</t>
  </si>
  <si>
    <t xml:space="preserve">事件後</t>
  </si>
  <si>
    <t xml:space="preserve">德州投資</t>
  </si>
  <si>
    <t xml:space="preserve">評估中，未定案</t>
  </si>
  <si>
    <t xml:space="preserve">「六座廠」無任何證實</t>
  </si>
  <si>
    <t xml:space="preserve">官方公告時</t>
  </si>
  <si>
    <t xml:space="preserve">https://www.investing.com/news/stock-market-news/tsmc-evaluates-potential-texas-investment-sources-say-4924436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</si>
  <si>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月營收／法說／</t>
    </r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月營收日期</t>
    </r>
  </si>
  <si>
    <t xml:space="preserve">2026</t>
  </si>
  <si>
    <r>
      <rPr>
        <sz val="11"/>
        <rFont val="Arial"/>
        <family val="0"/>
        <charset val="1"/>
      </rPr>
      <t xml:space="preserve">10/8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10/15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11/10</t>
    </r>
  </si>
  <si>
    <t xml:space="preserve">SENKO</t>
  </si>
  <si>
    <t xml:space="preserve">光通訊 SENKO 與 9069 的關係</t>
  </si>
  <si>
    <t xml:space="preserve">兩家無關：センコーアドバンス未上市；9069 為物流</t>
  </si>
  <si>
    <t xml:space="preserve">來源為徵才頁與維基</t>
  </si>
  <si>
    <t xml:space="preserve">https://job.mynavi.jp/27/pc/search/corp287907/outline.html</t>
  </si>
  <si>
    <r>
      <rPr>
        <sz val="11"/>
        <rFont val="Arial"/>
        <family val="0"/>
        <charset val="1"/>
      </rPr>
      <t xml:space="preserve">Counterpoint </t>
    </r>
    <r>
      <rPr>
        <sz val="11"/>
        <rFont val="Noto Sans CJK SC"/>
        <family val="2"/>
      </rPr>
      <t xml:space="preserve">估 </t>
    </r>
    <r>
      <rPr>
        <sz val="11"/>
        <rFont val="Arial"/>
        <family val="0"/>
        <charset val="1"/>
      </rPr>
      <t xml:space="preserve">Duo </t>
    </r>
    <r>
      <rPr>
        <sz val="11"/>
        <rFont val="Noto Sans CJK SC"/>
        <family val="2"/>
      </rPr>
      <t xml:space="preserve">今年 </t>
    </r>
    <r>
      <rPr>
        <sz val="11"/>
        <rFont val="Arial"/>
        <family val="0"/>
        <charset val="1"/>
      </rPr>
      <t xml:space="preserve">600 </t>
    </r>
    <r>
      <rPr>
        <sz val="11"/>
        <rFont val="Noto Sans CJK SC"/>
        <family val="2"/>
      </rPr>
      <t xml:space="preserve">萬支、良率 </t>
    </r>
    <r>
      <rPr>
        <sz val="11"/>
        <rFont val="Arial"/>
        <family val="0"/>
        <charset val="1"/>
      </rPr>
      <t xml:space="preserve">60%</t>
    </r>
  </si>
  <si>
    <r>
      <rPr>
        <sz val="11"/>
        <rFont val="Arial"/>
        <family val="0"/>
        <charset val="1"/>
      </rPr>
      <t xml:space="preserve">Emmy </t>
    </r>
    <r>
      <rPr>
        <sz val="11"/>
        <rFont val="Noto Sans CJK SC"/>
        <family val="2"/>
      </rPr>
      <t xml:space="preserve">口述</t>
    </r>
  </si>
  <si>
    <t xml:space="preserve">未分類</t>
  </si>
  <si>
    <t xml:space="preserve">需要用到時先查</t>
  </si>
  <si>
    <t xml:space="preserve">三星與海力士庫存低於 10 天</t>
  </si>
  <si>
    <t xml:space="preserve">Meta</t>
  </si>
  <si>
    <r>
      <rPr>
        <sz val="11"/>
        <rFont val="Arial"/>
        <family val="0"/>
        <charset val="1"/>
      </rPr>
      <t xml:space="preserve">Meta Compute </t>
    </r>
    <r>
      <rPr>
        <sz val="11"/>
        <rFont val="Noto Sans CJK SC"/>
        <family val="2"/>
      </rPr>
      <t xml:space="preserve">出租算力業務</t>
    </r>
  </si>
  <si>
    <r>
      <rPr>
        <sz val="11"/>
        <rFont val="Arial"/>
        <family val="0"/>
        <charset val="1"/>
      </rPr>
      <t xml:space="preserve">10 </t>
    </r>
    <r>
      <rPr>
        <sz val="11"/>
        <rFont val="Noto Sans CJK SC"/>
        <family val="2"/>
      </rPr>
      <t xml:space="preserve">年期美債殖利率盤中高點 </t>
    </r>
    <r>
      <rPr>
        <sz val="11"/>
        <rFont val="Arial"/>
        <family val="0"/>
        <charset val="1"/>
      </rPr>
      <t xml:space="preserve">5.34%</t>
    </r>
  </si>
  <si>
    <t xml:space="preserve">另一個 AI 引用</t>
  </si>
  <si>
    <t xml:space="preserve">布蘭特原油約 102 美元</t>
  </si>
  <si>
    <r>
      <rPr>
        <sz val="11"/>
        <rFont val="Arial"/>
        <family val="0"/>
        <charset val="1"/>
      </rPr>
      <t xml:space="preserve">KLA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Cadence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Synopsys</t>
    </r>
  </si>
  <si>
    <t xml:space="preserve">最近一季財報數字</t>
  </si>
  <si>
    <t xml:space="preserve">全新 2455</t>
  </si>
  <si>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月營收年增 </t>
    </r>
    <r>
      <rPr>
        <sz val="11"/>
        <rFont val="Arial"/>
        <family val="0"/>
        <charset val="1"/>
      </rPr>
      <t xml:space="preserve">71.2%</t>
    </r>
  </si>
  <si>
    <t xml:space="preserve">長約承諾 320 億、剩餘履約義務 1,000–1,500 億</t>
  </si>
  <si>
    <r>
      <rPr>
        <sz val="11"/>
        <rFont val="Arial"/>
        <family val="0"/>
        <charset val="1"/>
      </rPr>
      <t xml:space="preserve">FAU </t>
    </r>
    <r>
      <rPr>
        <sz val="11"/>
        <rFont val="Noto Sans CJK SC"/>
        <family val="2"/>
      </rPr>
      <t xml:space="preserve">最快 </t>
    </r>
    <r>
      <rPr>
        <sz val="11"/>
        <rFont val="Arial"/>
        <family val="0"/>
        <charset val="1"/>
      </rPr>
      <t xml:space="preserve">2027 </t>
    </r>
    <r>
      <rPr>
        <sz val="11"/>
        <rFont val="Noto Sans CJK SC"/>
        <family val="2"/>
      </rPr>
      <t xml:space="preserve">年中、已取得首張量產訂單</t>
    </r>
  </si>
  <si>
    <t xml:space="preserve">Anthropic</t>
  </si>
  <si>
    <t xml:space="preserve">感恩節前上市</t>
  </si>
  <si>
    <t xml:space="preserve">主觀評級，沒有量化依據。資料不足時填「未知」，不要填「低」。</t>
  </si>
  <si>
    <t xml:space="preserve">雲端業者資本支出</t>
  </si>
  <si>
    <t xml:space="preserve">利率</t>
  </si>
  <si>
    <t xml:space="preserve">記憶體週期</t>
  </si>
  <si>
    <t xml:space="preserve">地緣與出口管制</t>
  </si>
  <si>
    <t xml:space="preserve">消費景氣</t>
  </si>
  <si>
    <t xml:space="preserve">評級把握度</t>
  </si>
  <si>
    <t xml:space="preserve">高</t>
  </si>
  <si>
    <t xml:space="preserve">中</t>
  </si>
  <si>
    <t xml:space="preserve">低</t>
  </si>
  <si>
    <r>
      <rPr>
        <sz val="11"/>
        <rFont val="Arial"/>
        <family val="0"/>
        <charset val="1"/>
      </rPr>
      <t xml:space="preserve">Marvell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Lumentum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Coherent</t>
    </r>
  </si>
  <si>
    <r>
      <rPr>
        <sz val="11"/>
        <rFont val="Arial"/>
        <family val="0"/>
        <charset val="1"/>
      </rPr>
      <t xml:space="preserve">Arista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Vertiv</t>
    </r>
  </si>
  <si>
    <t xml:space="preserve">中到高</t>
  </si>
  <si>
    <t xml:space="preserve">未知</t>
  </si>
  <si>
    <t xml:space="preserve">極高</t>
  </si>
  <si>
    <t xml:space="preserve">聯亞／台燿／奇鋐／雙鴻</t>
  </si>
  <si>
    <r>
      <rPr>
        <sz val="11"/>
        <rFont val="Arial"/>
        <family val="0"/>
        <charset val="1"/>
      </rPr>
      <t xml:space="preserve">Eaton</t>
    </r>
    <r>
      <rPr>
        <sz val="11"/>
        <rFont val="Noto Sans CJK SC"/>
        <family val="2"/>
      </rPr>
      <t xml:space="preserve">／</t>
    </r>
    <r>
      <rPr>
        <sz val="11"/>
        <rFont val="Arial"/>
        <family val="0"/>
        <charset val="1"/>
      </rPr>
      <t xml:space="preserve">GE Vernova</t>
    </r>
  </si>
  <si>
    <t xml:space="preserve">低到中</t>
  </si>
  <si>
    <t xml:space="preserve">壓力測試：先算部位，再挑公司</t>
  </si>
  <si>
    <t xml:space="preserve">黃格由你填寫。範例值 40%、槓桿 1 倍只是示範格式，請換成自己的數字。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</si>
  <si>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相關部位佔可投資資金</t>
    </r>
  </si>
  <si>
    <t xml:space="preserve">槓桿倍數（無融資填 1）</t>
  </si>
  <si>
    <t xml:space="preserve">可接受的最大總資產跌幅</t>
  </si>
  <si>
    <t xml:space="preserve">情境</t>
  </si>
  <si>
    <t xml:space="preserve">板塊假設跌幅</t>
  </si>
  <si>
    <t xml:space="preserve">總資產跌幅（公式）</t>
  </si>
  <si>
    <t xml:space="preserve">是否超過可接受上限</t>
  </si>
  <si>
    <t xml:space="preserve">溫和修正</t>
  </si>
  <si>
    <t xml:space="preserve">估值修正</t>
  </si>
  <si>
    <t xml:space="preserve">深度回檔</t>
  </si>
  <si>
    <t xml:space="preserve">說話者</t>
  </si>
  <si>
    <t xml:space="preserve">說話時間</t>
  </si>
  <si>
    <t xml:space="preserve">預測內容</t>
  </si>
  <si>
    <t xml:space="preserve">類型</t>
  </si>
  <si>
    <t xml:space="preserve">評分</t>
  </si>
  <si>
    <t xml:space="preserve">誤差（公式）</t>
  </si>
  <si>
    <t xml:space="preserve">Emmy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</si>
  <si>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月上旬</t>
    </r>
  </si>
  <si>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月 </t>
    </r>
    <r>
      <rPr>
        <sz val="11"/>
        <rFont val="Arial"/>
        <family val="0"/>
        <charset val="1"/>
      </rPr>
      <t xml:space="preserve">CPI </t>
    </r>
    <r>
      <rPr>
        <sz val="11"/>
        <rFont val="Noto Sans CJK SC"/>
        <family val="2"/>
      </rPr>
      <t xml:space="preserve">應該不會爆</t>
    </r>
  </si>
  <si>
    <t xml:space="preserve">方向</t>
  </si>
  <si>
    <t xml:space="preserve">偏熱</t>
  </si>
  <si>
    <t xml:space="preserve">錯</t>
  </si>
  <si>
    <t xml:space="preserve">影片確切日期待補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</si>
  <si>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月上旬與中旬</t>
    </r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</si>
  <si>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月不太可能升息</t>
    </r>
  </si>
  <si>
    <r>
      <rPr>
        <sz val="11"/>
        <rFont val="Arial"/>
        <family val="0"/>
        <charset val="1"/>
      </rPr>
      <t xml:space="preserve">12:0 </t>
    </r>
    <r>
      <rPr>
        <sz val="11"/>
        <rFont val="Noto Sans CJK SC"/>
        <family val="2"/>
      </rPr>
      <t xml:space="preserve">升息一碼</t>
    </r>
  </si>
  <si>
    <t xml:space="preserve">連講兩週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</si>
  <si>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月下旬</t>
    </r>
  </si>
  <si>
    <t xml:space="preserve">美光營收 575–630 億美元</t>
  </si>
  <si>
    <t xml:space="preserve">數值區間</t>
  </si>
  <si>
    <r>
      <rPr>
        <sz val="11"/>
        <rFont val="Arial"/>
        <family val="0"/>
        <charset val="1"/>
      </rPr>
      <t xml:space="preserve">542.3 </t>
    </r>
    <r>
      <rPr>
        <sz val="11"/>
        <rFont val="Noto Sans CJK SC"/>
        <family val="2"/>
      </rPr>
      <t xml:space="preserve">億</t>
    </r>
  </si>
  <si>
    <t xml:space="preserve">數字未中；方向對</t>
  </si>
  <si>
    <t xml:space="preserve">相對區間下限</t>
  </si>
  <si>
    <t xml:space="preserve">美光財測是懸念、股價不會大漲</t>
  </si>
  <si>
    <t xml:space="preserve">盤後近乎收平</t>
  </si>
  <si>
    <t xml:space="preserve">對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</si>
  <si>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月下旬有作帳行情</t>
    </r>
  </si>
  <si>
    <t xml:space="preserve">未定義</t>
  </si>
  <si>
    <t xml:space="preserve">無法評分</t>
  </si>
  <si>
    <t xml:space="preserve">事前沒有定義標準</t>
  </si>
  <si>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月中旬</t>
    </r>
  </si>
  <si>
    <t xml:space="preserve">年底前再升息半碼</t>
  </si>
  <si>
    <t xml:space="preserve">點陣圖為再升一碼</t>
  </si>
  <si>
    <t xml:space="preserve">口誤</t>
  </si>
  <si>
    <r>
      <rPr>
        <sz val="11"/>
        <rFont val="Arial"/>
        <family val="0"/>
        <charset val="1"/>
      </rPr>
      <t xml:space="preserve">SENKO </t>
    </r>
    <r>
      <rPr>
        <sz val="11"/>
        <rFont val="Noto Sans CJK SC"/>
        <family val="2"/>
      </rPr>
      <t xml:space="preserve">日股代號 </t>
    </r>
    <r>
      <rPr>
        <sz val="11"/>
        <rFont val="Arial"/>
        <family val="0"/>
        <charset val="1"/>
      </rPr>
      <t xml:space="preserve">9069</t>
    </r>
  </si>
  <si>
    <t xml:space="preserve">事實</t>
  </si>
  <si>
    <t xml:space="preserve">兩家無關</t>
  </si>
  <si>
    <t xml:space="preserve">實體對錯</t>
  </si>
  <si>
    <r>
      <rPr>
        <sz val="11"/>
        <rFont val="Arial"/>
        <family val="0"/>
        <charset val="1"/>
      </rPr>
      <t xml:space="preserve">Meta AI </t>
    </r>
    <r>
      <rPr>
        <sz val="11"/>
        <rFont val="Noto Sans CJK SC"/>
        <family val="2"/>
      </rPr>
      <t xml:space="preserve">營收 </t>
    </r>
    <r>
      <rPr>
        <sz val="11"/>
        <rFont val="Arial"/>
        <family val="0"/>
        <charset val="1"/>
      </rPr>
      <t xml:space="preserve">100–150 </t>
    </r>
    <r>
      <rPr>
        <sz val="11"/>
        <rFont val="Noto Sans CJK SC"/>
        <family val="2"/>
      </rPr>
      <t xml:space="preserve">億美元</t>
    </r>
  </si>
  <si>
    <t xml:space="preserve">待 10/28 財報</t>
  </si>
  <si>
    <t xml:space="preserve">未揭曉</t>
  </si>
  <si>
    <t xml:space="preserve">估算方法不成立</t>
  </si>
  <si>
    <t xml:space="preserve">編號</t>
  </si>
  <si>
    <t xml:space="preserve">原本</t>
  </si>
  <si>
    <t xml:space="preserve">改為</t>
  </si>
  <si>
    <t xml:space="preserve">對結論的影響</t>
  </si>
  <si>
    <t xml:space="preserve">依據</t>
  </si>
  <si>
    <t xml:space="preserve">20261005-01</t>
  </si>
  <si>
    <r>
      <rPr>
        <sz val="11"/>
        <rFont val="Arial"/>
        <family val="0"/>
        <charset val="1"/>
      </rPr>
      <t xml:space="preserve">Broadcom </t>
    </r>
    <r>
      <rPr>
        <sz val="11"/>
        <rFont val="Noto Sans CJK SC"/>
        <family val="2"/>
      </rPr>
      <t xml:space="preserve">前五大客戶 </t>
    </r>
    <r>
      <rPr>
        <sz val="11"/>
        <rFont val="Arial"/>
        <family val="0"/>
        <charset val="1"/>
      </rPr>
      <t xml:space="preserve">55% </t>
    </r>
    <r>
      <rPr>
        <sz val="11"/>
        <rFont val="Noto Sans CJK SC"/>
        <family val="2"/>
      </rPr>
      <t xml:space="preserve">未查到</t>
    </r>
  </si>
  <si>
    <t xml:space="preserve">已確認 55%，另有經銷商 50%</t>
  </si>
  <si>
    <t xml:space="preserve">20261005-02</t>
  </si>
  <si>
    <r>
      <rPr>
        <sz val="11"/>
        <rFont val="Arial"/>
        <family val="0"/>
        <charset val="1"/>
      </rPr>
      <t xml:space="preserve">Arista </t>
    </r>
    <r>
      <rPr>
        <sz val="11"/>
        <rFont val="Noto Sans CJK SC"/>
        <family val="2"/>
      </rPr>
      <t xml:space="preserve">採購承諾 </t>
    </r>
    <r>
      <rPr>
        <sz val="11"/>
        <rFont val="Arial"/>
        <family val="0"/>
        <charset val="1"/>
      </rPr>
      <t xml:space="preserve">97 </t>
    </r>
    <r>
      <rPr>
        <sz val="11"/>
        <rFont val="Noto Sans CJK SC"/>
        <family val="2"/>
      </rPr>
      <t xml:space="preserve">億</t>
    </r>
  </si>
  <si>
    <t xml:space="preserve">註明是對供應商的承諾</t>
  </si>
  <si>
    <t xml:space="preserve">20261005-03</t>
  </si>
  <si>
    <r>
      <rPr>
        <sz val="11"/>
        <rFont val="Arial"/>
        <family val="0"/>
        <charset val="1"/>
      </rPr>
      <t xml:space="preserve">Dots </t>
    </r>
    <r>
      <rPr>
        <sz val="11"/>
        <rFont val="Noto Sans CJK SC"/>
        <family val="2"/>
      </rPr>
      <t xml:space="preserve">開放 </t>
    </r>
    <r>
      <rPr>
        <sz val="11"/>
        <rFont val="Arial"/>
        <family val="0"/>
        <charset val="1"/>
      </rPr>
      <t xml:space="preserve">Enterprise</t>
    </r>
  </si>
  <si>
    <r>
      <rPr>
        <sz val="11"/>
        <rFont val="Arial"/>
        <family val="0"/>
        <charset val="1"/>
      </rPr>
      <t xml:space="preserve">Enterprise </t>
    </r>
    <r>
      <rPr>
        <sz val="11"/>
        <rFont val="Noto Sans CJK SC"/>
        <family val="2"/>
      </rPr>
      <t xml:space="preserve">為測試版、預設關閉</t>
    </r>
  </si>
  <si>
    <t xml:space="preserve">20261005-04</t>
  </si>
  <si>
    <r>
      <rPr>
        <sz val="11"/>
        <rFont val="Arial"/>
        <family val="0"/>
        <charset val="1"/>
      </rPr>
      <t xml:space="preserve">Muse 22 </t>
    </r>
    <r>
      <rPr>
        <sz val="11"/>
        <rFont val="Noto Sans CJK SC"/>
        <family val="2"/>
      </rPr>
      <t xml:space="preserve">天 </t>
    </r>
    <r>
      <rPr>
        <sz val="11"/>
        <rFont val="Arial"/>
        <family val="0"/>
        <charset val="1"/>
      </rPr>
      <t xml:space="preserve">500 </t>
    </r>
    <r>
      <rPr>
        <sz val="11"/>
        <rFont val="Noto Sans CJK SC"/>
        <family val="2"/>
      </rPr>
      <t xml:space="preserve">萬下載</t>
    </r>
  </si>
  <si>
    <t xml:space="preserve">註明為 Sensor Tower 估計</t>
  </si>
  <si>
    <t xml:space="preserve">20261005-05</t>
  </si>
  <si>
    <t xml:space="preserve">流程七步、三類說法</t>
  </si>
  <si>
    <t xml:space="preserve">八步、六種標籤</t>
  </si>
  <si>
    <t xml:space="preserve">20261005-06</t>
  </si>
  <si>
    <r>
      <rPr>
        <sz val="11"/>
        <rFont val="Arial"/>
        <family val="0"/>
        <charset val="1"/>
      </rPr>
      <t xml:space="preserve">Dots </t>
    </r>
    <r>
      <rPr>
        <sz val="11"/>
        <rFont val="Noto Sans CJK SC"/>
        <family val="2"/>
      </rPr>
      <t xml:space="preserve">的 </t>
    </r>
    <r>
      <rPr>
        <sz val="11"/>
        <rFont val="Arial"/>
        <family val="0"/>
        <charset val="1"/>
      </rPr>
      <t xml:space="preserve">Edu </t>
    </r>
    <r>
      <rPr>
        <sz val="11"/>
        <rFont val="Noto Sans CJK SC"/>
        <family val="2"/>
      </rPr>
      <t xml:space="preserve">與 </t>
    </r>
    <r>
      <rPr>
        <sz val="11"/>
        <rFont val="Arial"/>
        <family val="0"/>
        <charset val="1"/>
      </rPr>
      <t xml:space="preserve">Healthcare </t>
    </r>
    <r>
      <rPr>
        <sz val="11"/>
        <rFont val="Noto Sans CJK SC"/>
        <family val="2"/>
      </rPr>
      <t xml:space="preserve">未查證</t>
    </r>
  </si>
  <si>
    <t xml:space="preserve">已確認</t>
  </si>
  <si>
    <t xml:space="preserve">20261005-07</t>
  </si>
  <si>
    <t xml:space="preserve">磷化銅</t>
  </si>
  <si>
    <t xml:space="preserve">磷化銦（InP）</t>
  </si>
  <si>
    <t xml:space="preserve">20261005-08</t>
  </si>
  <si>
    <t xml:space="preserve">訂單出貨比大於 1 代表需求大於供給</t>
  </si>
  <si>
    <t xml:space="preserve">只代表接單快於出貨</t>
  </si>
  <si>
    <t xml:space="preserve">20261005-09</t>
  </si>
  <si>
    <t xml:space="preserve">在手訂單與剩餘履約義務合為一詞</t>
  </si>
  <si>
    <t xml:space="preserve">拆成三個詞</t>
  </si>
  <si>
    <t xml:space="preserve">20261005-10</t>
  </si>
  <si>
    <t xml:space="preserve">任一家雲端業者下修即轉壞</t>
  </si>
  <si>
    <t xml:space="preserve">一家黃燈、多家或合計下修才紅燈</t>
  </si>
  <si>
    <t xml:space="preserve">20261005-11</t>
  </si>
  <si>
    <t xml:space="preserve">好消息加股價跌等於預期過滿</t>
  </si>
  <si>
    <t xml:space="preserve">需扣掉同類指數，且仍屬推論</t>
  </si>
  <si>
    <t xml:space="preserve">20261005-12</t>
  </si>
  <si>
    <r>
      <rPr>
        <sz val="11"/>
        <rFont val="Arial"/>
        <family val="0"/>
        <charset val="1"/>
      </rPr>
      <t xml:space="preserve">Arista </t>
    </r>
    <r>
      <rPr>
        <sz val="11"/>
        <rFont val="Noto Sans CJK SC"/>
        <family val="2"/>
      </rPr>
      <t xml:space="preserve">承諾「一年內到期」</t>
    </r>
  </si>
  <si>
    <t xml:space="preserve">「預計 12 個月內收貨」，並補 84 億未來營收</t>
  </si>
  <si>
    <t xml:space="preserve">20261005-13</t>
  </si>
  <si>
    <r>
      <rPr>
        <sz val="11"/>
        <rFont val="Arial"/>
        <family val="0"/>
        <charset val="1"/>
      </rPr>
      <t xml:space="preserve">Event_Log </t>
    </r>
    <r>
      <rPr>
        <sz val="11"/>
        <rFont val="Noto Sans CJK SC"/>
        <family val="2"/>
      </rPr>
      <t xml:space="preserve">超額漲跌公式放在 </t>
    </r>
    <r>
      <rPr>
        <sz val="11"/>
        <rFont val="Arial"/>
        <family val="0"/>
        <charset val="1"/>
      </rPr>
      <t xml:space="preserve">H </t>
    </r>
    <r>
      <rPr>
        <sz val="11"/>
        <rFont val="Noto Sans CJK SC"/>
        <family val="2"/>
      </rPr>
      <t xml:space="preserve">欄（自我參照），</t>
    </r>
    <r>
      <rPr>
        <sz val="11"/>
        <rFont val="Arial"/>
        <family val="0"/>
        <charset val="1"/>
      </rPr>
      <t xml:space="preserve">I </t>
    </r>
    <r>
      <rPr>
        <sz val="11"/>
        <rFont val="Noto Sans CJK SC"/>
        <family val="2"/>
      </rPr>
      <t xml:space="preserve">欄空白</t>
    </r>
  </si>
  <si>
    <t xml:space="preserve">公式移到 I 欄，H 欄恢復為手填的同類指數漲跌</t>
  </si>
  <si>
    <t xml:space="preserve">高（原本算不出超額漲跌）</t>
  </si>
  <si>
    <r>
      <rPr>
        <u val="single"/>
        <sz val="11"/>
        <color rgb="FF0563C1"/>
        <rFont val="Arial"/>
        <family val="0"/>
        <charset val="1"/>
      </rPr>
      <t xml:space="preserve">Codex </t>
    </r>
    <r>
      <rPr>
        <u val="single"/>
        <sz val="11"/>
        <color rgb="FF0563C1"/>
        <rFont val="Noto Sans CJK SC"/>
        <family val="2"/>
      </rPr>
      <t xml:space="preserve">審查報告 </t>
    </r>
    <r>
      <rPr>
        <u val="single"/>
        <sz val="11"/>
        <color rgb="FF0563C1"/>
        <rFont val="Arial"/>
        <family val="0"/>
        <charset val="1"/>
      </rPr>
      <t xml:space="preserve">2026-10-05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</si>
</sst>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%"/>
    <numFmt numFmtId="167" formatCode="0.0\x"/>
    <numFmt numFmtId="168" formatCode="0"/>
    <numFmt numFmtId="169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1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i val="true"/>
      <sz val="11"/>
      <color rgb="FF555555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Noto Sans CJK SC"/>
      <family val="2"/>
      <charset val="1"/>
    </font>
    <font>
      <sz val="11"/>
      <color theme="1"/>
      <name val="Noto Sans CJK SC"/>
      <family val="2"/>
      <charset val="1"/>
    </font>
    <font>
      <u val="single"/>
      <sz val="11"/>
      <color rgb="FF0563C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news.cnyes.com/news/id/6619198" TargetMode="External"/><Relationship Id="rId2" Type="http://schemas.openxmlformats.org/officeDocument/2006/relationships/hyperlink" Target="https://investors.broadcom.com/static-files/96641754-401f-4090-a4ab-210728c83a28" TargetMode="External"/><Relationship Id="rId3" Type="http://schemas.openxmlformats.org/officeDocument/2006/relationships/hyperlink" Target="https://www.sec.gov/Archives/edgar/data/0001835632/000183563226000022/q227_8kx812026ex-991.htm" TargetMode="External"/><Relationship Id="rId4" Type="http://schemas.openxmlformats.org/officeDocument/2006/relationships/hyperlink" Target="https://investor.lumentum.com/financial-news-releases/news-details/2026/Lumentum-Announces-Fourth-Quarter-and-Full-Fiscal-Year-2026-Results/default.aspx" TargetMode="External"/><Relationship Id="rId5" Type="http://schemas.openxmlformats.org/officeDocument/2006/relationships/hyperlink" Target="https://www.coherent.com/news/press-releases/fourth-quarter-and-fiscal-year-2026-results" TargetMode="External"/><Relationship Id="rId6" Type="http://schemas.openxmlformats.org/officeDocument/2006/relationships/hyperlink" Target="https://www.sec.gov/Archives/edgar/data/1596532/000159653226000175/anet-20260630.htm" TargetMode="External"/><Relationship Id="rId7" Type="http://schemas.openxmlformats.org/officeDocument/2006/relationships/hyperlink" Target="https://investors.vertiv.com/news/news-details/2026/Vertiv-Reports-Strong-Second-Quarter-2026-with-Diluted-EPS-Growth-of-53-Adjusted-Diluted-EPS-Growth-of-60-Raises-Full-Year-2026-Guidance-Across-All-Key-Metrics/default.aspx" TargetMode="External"/><Relationship Id="rId8" Type="http://schemas.openxmlformats.org/officeDocument/2006/relationships/hyperlink" Target="https://www.businesswire.com/news/home/20260730561562/en/Eaton-Reports-Record-Second-Quarter-2026-Results-with-Strong-Organic-Growth-Accelerating-Orders-and-Backlog-and-Raises-Organic-Growth-Guidance" TargetMode="External"/><Relationship Id="rId9" Type="http://schemas.openxmlformats.org/officeDocument/2006/relationships/hyperlink" Target="https://www.sec.gov/Archives/edgar/data/0000820313/000110465926087904/aph-20260729xex99d1.htm" TargetMode="External"/><Relationship Id="rId10" Type="http://schemas.openxmlformats.org/officeDocument/2006/relationships/hyperlink" Target="https://www.advantest.com/document/en/investors/ir-library/result/E_FR_FY2026_1Q.pdf" TargetMode="External"/><Relationship Id="rId11" Type="http://schemas.openxmlformats.org/officeDocument/2006/relationships/hyperlink" Target="https://investors.paloaltonetworks.com/news-releases/news-release-details/palo-alto-networks-reports-fiscal-fourth-quarter-and-fiscal-10" TargetMode="External"/><Relationship Id="rId12" Type="http://schemas.openxmlformats.org/officeDocument/2006/relationships/hyperlink" Target="https://www.gevernova.com/sites/default/files/gev_webcast_pressrelease_07222026.pdf" TargetMode="External"/><Relationship Id="rId1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news.cnyes.com/news/id/6603050" TargetMode="External"/><Relationship Id="rId2" Type="http://schemas.openxmlformats.org/officeDocument/2006/relationships/hyperlink" Target="https://news.ustv.com.tw/newsdetail/20260902A001020" TargetMode="External"/><Relationship Id="rId3" Type="http://schemas.openxmlformats.org/officeDocument/2006/relationships/hyperlink" Target="https://udn.com/news/story/7252/9741093" TargetMode="External"/><Relationship Id="rId4" Type="http://schemas.openxmlformats.org/officeDocument/2006/relationships/hyperlink" Target="https://news.cnyes.com/news/id/6597602" TargetMode="External"/><Relationship Id="rId5" Type="http://schemas.openxmlformats.org/officeDocument/2006/relationships/hyperlink" Target="https://m.cnyes.com/news/id/6597745" TargetMode="External"/><Relationship Id="rId6" Type="http://schemas.openxmlformats.org/officeDocument/2006/relationships/hyperlink" Target="https://news.cnyes.com/news/id/6600144" TargetMode="External"/><Relationship Id="rId7" Type="http://schemas.openxmlformats.org/officeDocument/2006/relationships/hyperlink" Target="https://www.ctee.com.tw/news/20260908701262-430502" TargetMode="External"/><Relationship Id="rId8" Type="http://schemas.openxmlformats.org/officeDocument/2006/relationships/hyperlink" Target="https://www.chinatimes.com/realtimenews/20260905002223-260410" TargetMode="External"/><Relationship Id="rId9" Type="http://schemas.openxmlformats.org/officeDocument/2006/relationships/hyperlink" Target="https://investor.tsmc.com/english/financial-calendar" TargetMode="External"/><Relationship Id="rId10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foxbusiness.com/economy/federal-reserve-interest-rate-decision-september-16-2026" TargetMode="External"/><Relationship Id="rId2" Type="http://schemas.openxmlformats.org/officeDocument/2006/relationships/hyperlink" Target="https://www.federalreserve.gov/monetarypolicy/fomcprojtabl20260916.htm" TargetMode="External"/><Relationship Id="rId3" Type="http://schemas.openxmlformats.org/officeDocument/2006/relationships/hyperlink" Target="https://www.bls.gov/news.release/empsit.htm" TargetMode="External"/><Relationship Id="rId4" Type="http://schemas.openxmlformats.org/officeDocument/2006/relationships/hyperlink" Target="https://www.trendforce.com/presscenter/news/20260825-13198.html" TargetMode="External"/><Relationship Id="rId5" Type="http://schemas.openxmlformats.org/officeDocument/2006/relationships/hyperlink" Target="https://www.trendforce.com/presscenter/news/20260929-13255.html" TargetMode="External"/><Relationship Id="rId6" Type="http://schemas.openxmlformats.org/officeDocument/2006/relationships/hyperlink" Target="https://aiweekly.co/alerts/nvidia-tests-lower-memory-rubin-ultra-variants-amid-hbm-squeeze" TargetMode="External"/><Relationship Id="rId7" Type="http://schemas.openxmlformats.org/officeDocument/2006/relationships/hyperlink" Target="https://www.trendforce.com/presscenter/news/20260901-13210.html" TargetMode="External"/><Relationship Id="rId8" Type="http://schemas.openxmlformats.org/officeDocument/2006/relationships/hyperlink" Target="https://www.trendforce.com/presscenter/news/20260827-13202.html" TargetMode="External"/><Relationship Id="rId9" Type="http://schemas.openxmlformats.org/officeDocument/2006/relationships/hyperlink" Target="https://insights.trendforce.com/p/agentic-ai-cpu-gpu" TargetMode="External"/><Relationship Id="rId10" Type="http://schemas.openxmlformats.org/officeDocument/2006/relationships/hyperlink" Target="https://www.forbes.com/sites/maryroeloffs/2026/09/30/metas-muse-ai-assistant-hits-5-million-downloads-outpacing-growth-of-chatgpt-grok-and-claude/" TargetMode="External"/><Relationship Id="rId1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news.cnyes.com/news/id/6619198" TargetMode="External"/><Relationship Id="rId2" Type="http://schemas.openxmlformats.org/officeDocument/2006/relationships/hyperlink" Target="https://www.marvell.com/company/events.html" TargetMode="External"/><Relationship Id="rId3" Type="http://schemas.openxmlformats.org/officeDocument/2006/relationships/hyperlink" Target="https://investor.tsmc.com/english/financial-calendar" TargetMode="External"/><Relationship Id="rId4" Type="http://schemas.openxmlformats.org/officeDocument/2006/relationships/hyperlink" Target="https://www.iclarified.com/102501/apple-targets-october-13-for-smart-home-hub-new-homepod-mini-and-apple-tv-gurman" TargetMode="External"/><Relationship Id="rId5" Type="http://schemas.openxmlformats.org/officeDocument/2006/relationships/hyperlink" Target="https://investor.tsmc.com/english/financial-calendar" TargetMode="External"/><Relationship Id="rId6" Type="http://schemas.openxmlformats.org/officeDocument/2006/relationships/hyperlink" Target="https://www.apple.com/newsroom/2026/09/apple-unveils-iphone-duo/" TargetMode="External"/><Relationship Id="rId7" Type="http://schemas.openxmlformats.org/officeDocument/2006/relationships/hyperlink" Target="https://investor.tsmc.com/english/financial-calendar" TargetMode="External"/><Relationship Id="rId8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news.cnyes.com/news/id/6619198" TargetMode="External"/><Relationship Id="rId2" Type="http://schemas.openxmlformats.org/officeDocument/2006/relationships/hyperlink" Target="https://news.cnyes.com/news/id/6619198" TargetMode="External"/><Relationship Id="rId3" Type="http://schemas.openxmlformats.org/officeDocument/2006/relationships/hyperlink" Target="https://news.cnyes.com/news/id/6619198" TargetMode="External"/><Relationship Id="rId4" Type="http://schemas.openxmlformats.org/officeDocument/2006/relationships/hyperlink" Target="https://investors.broadcom.com/static-files/96641754-401f-4090-a4ab-210728c83a28" TargetMode="External"/><Relationship Id="rId5" Type="http://schemas.openxmlformats.org/officeDocument/2006/relationships/hyperlink" Target="https://investors.broadcom.com/static-files/96641754-401f-4090-a4ab-210728c83a28" TargetMode="External"/><Relationship Id="rId6" Type="http://schemas.openxmlformats.org/officeDocument/2006/relationships/hyperlink" Target="https://investors.broadcom.com/static-files/96641754-401f-4090-a4ab-210728c83a28" TargetMode="External"/><Relationship Id="rId7" Type="http://schemas.openxmlformats.org/officeDocument/2006/relationships/hyperlink" Target="https://www.sec.gov/Archives/edgar/data/0001835632/000183563226000022/q227_8kx812026ex-991.htm" TargetMode="External"/><Relationship Id="rId8" Type="http://schemas.openxmlformats.org/officeDocument/2006/relationships/hyperlink" Target="https://www.sec.gov/Archives/edgar/data/0001835632/000183563226000022/q227_8kx812026ex-991.htm" TargetMode="External"/><Relationship Id="rId9" Type="http://schemas.openxmlformats.org/officeDocument/2006/relationships/hyperlink" Target="https://www.sec.gov/Archives/edgar/data/0001835632/000183563226000022/q227_8kx812026ex-991.htm" TargetMode="External"/><Relationship Id="rId10" Type="http://schemas.openxmlformats.org/officeDocument/2006/relationships/hyperlink" Target="https://investor.lumentum.com/financial-news-releases/news-details/2026/Lumentum-Announces-Fourth-Quarter-and-Full-Fiscal-Year-2026-Results/default.aspx" TargetMode="External"/><Relationship Id="rId11" Type="http://schemas.openxmlformats.org/officeDocument/2006/relationships/hyperlink" Target="https://investor.lumentum.com/financial-news-releases/news-details/2026/Lumentum-Announces-Fourth-Quarter-and-Full-Fiscal-Year-2026-Results/default.aspx" TargetMode="External"/><Relationship Id="rId12" Type="http://schemas.openxmlformats.org/officeDocument/2006/relationships/hyperlink" Target="https://investor.lumentum.com/financial-news-releases/news-details/2026/Lumentum-Announces-Fourth-Quarter-and-Full-Fiscal-Year-2026-Results/default.aspx" TargetMode="External"/><Relationship Id="rId13" Type="http://schemas.openxmlformats.org/officeDocument/2006/relationships/hyperlink" Target="https://www.coherent.com/news/press-releases/fourth-quarter-and-fiscal-year-2026-results" TargetMode="External"/><Relationship Id="rId14" Type="http://schemas.openxmlformats.org/officeDocument/2006/relationships/hyperlink" Target="https://www.coherent.com/news/press-releases/fourth-quarter-and-fiscal-year-2026-results" TargetMode="External"/><Relationship Id="rId15" Type="http://schemas.openxmlformats.org/officeDocument/2006/relationships/hyperlink" Target="https://www.sec.gov/Archives/edgar/data/1596532/000159653226000175/anet-20260630.htm" TargetMode="External"/><Relationship Id="rId16" Type="http://schemas.openxmlformats.org/officeDocument/2006/relationships/hyperlink" Target="https://www.sec.gov/Archives/edgar/data/1596532/000159653226000175/anet-20260630.htm" TargetMode="External"/><Relationship Id="rId17" Type="http://schemas.openxmlformats.org/officeDocument/2006/relationships/hyperlink" Target="https://www.sec.gov/Archives/edgar/data/1596532/000159653226000175/anet-20260630.htm" TargetMode="External"/><Relationship Id="rId18" Type="http://schemas.openxmlformats.org/officeDocument/2006/relationships/hyperlink" Target="https://investors.vertiv.com/news/news-details/2026/Vertiv-Reports-Strong-Second-Quarter-2026-with-Diluted-EPS-Growth-of-53-Adjusted-Diluted-EPS-Growth-of-60-Raises-Full-Year-2026-Guidance-Across-All-Key-Metrics/default.aspx" TargetMode="External"/><Relationship Id="rId19" Type="http://schemas.openxmlformats.org/officeDocument/2006/relationships/hyperlink" Target="https://investors.vertiv.com/news/news-details/2026/Vertiv-Reports-Strong-Second-Quarter-2026-with-Diluted-EPS-Growth-of-53-Adjusted-Diluted-EPS-Growth-of-60-Raises-Full-Year-2026-Guidance-Across-All-Key-Metrics/default.aspx" TargetMode="External"/><Relationship Id="rId20" Type="http://schemas.openxmlformats.org/officeDocument/2006/relationships/hyperlink" Target="https://investors.vertiv.com/news/news-details/2026/Vertiv-Reports-Strong-Second-Quarter-2026-with-Diluted-EPS-Growth-of-53-Adjusted-Diluted-EPS-Growth-of-60-Raises-Full-Year-2026-Guidance-Across-All-Key-Metrics/default.aspx" TargetMode="External"/><Relationship Id="rId21" Type="http://schemas.openxmlformats.org/officeDocument/2006/relationships/hyperlink" Target="https://www.businesswire.com/news/home/20260730561562/en/Eaton-Reports-Record-Second-Quarter-2026-Results-with-Strong-Organic-Growth-Accelerating-Orders-and-Backlog-and-Raises-Organic-Growth-Guidance" TargetMode="External"/><Relationship Id="rId22" Type="http://schemas.openxmlformats.org/officeDocument/2006/relationships/hyperlink" Target="https://www.businesswire.com/news/home/20260730561562/en/Eaton-Reports-Record-Second-Quarter-2026-Results-with-Strong-Organic-Growth-Accelerating-Orders-and-Backlog-and-Raises-Organic-Growth-Guidance" TargetMode="External"/><Relationship Id="rId23" Type="http://schemas.openxmlformats.org/officeDocument/2006/relationships/hyperlink" Target="https://www.businesswire.com/news/home/20260730561562/en/Eaton-Reports-Record-Second-Quarter-2026-Results-with-Strong-Organic-Growth-Accelerating-Orders-and-Backlog-and-Raises-Organic-Growth-Guidance" TargetMode="External"/><Relationship Id="rId24" Type="http://schemas.openxmlformats.org/officeDocument/2006/relationships/hyperlink" Target="https://www.sec.gov/Archives/edgar/data/0000820313/000110465926087904/aph-20260729xex99d1.htm" TargetMode="External"/><Relationship Id="rId25" Type="http://schemas.openxmlformats.org/officeDocument/2006/relationships/hyperlink" Target="https://www.sec.gov/Archives/edgar/data/0000820313/000110465926087904/aph-20260729xex99d1.htm" TargetMode="External"/><Relationship Id="rId26" Type="http://schemas.openxmlformats.org/officeDocument/2006/relationships/hyperlink" Target="https://www.sec.gov/Archives/edgar/data/0000820313/000110465926087904/aph-20260729xex99d1.htm" TargetMode="External"/><Relationship Id="rId27" Type="http://schemas.openxmlformats.org/officeDocument/2006/relationships/hyperlink" Target="https://www.advantest.com/document/en/investors/ir-library/result/E_FR_FY2026_1Q.pdf" TargetMode="External"/><Relationship Id="rId28" Type="http://schemas.openxmlformats.org/officeDocument/2006/relationships/hyperlink" Target="https://www.advantest.com/document/en/investors/ir-library/result/E_FR_FY2026_1Q.pdf" TargetMode="External"/><Relationship Id="rId29" Type="http://schemas.openxmlformats.org/officeDocument/2006/relationships/hyperlink" Target="https://www.advantest.com/document/en/investors/ir-library/result/E_FR_FY2026_1Q.pdf" TargetMode="External"/><Relationship Id="rId30" Type="http://schemas.openxmlformats.org/officeDocument/2006/relationships/hyperlink" Target="https://investors.paloaltonetworks.com/news-releases/news-release-details/palo-alto-networks-reports-fiscal-fourth-quarter-and-fiscal-10" TargetMode="External"/><Relationship Id="rId31" Type="http://schemas.openxmlformats.org/officeDocument/2006/relationships/hyperlink" Target="https://investors.paloaltonetworks.com/news-releases/news-release-details/palo-alto-networks-reports-fiscal-fourth-quarter-and-fiscal-10" TargetMode="External"/><Relationship Id="rId32" Type="http://schemas.openxmlformats.org/officeDocument/2006/relationships/hyperlink" Target="https://investors.paloaltonetworks.com/news-releases/news-release-details/palo-alto-networks-reports-fiscal-fourth-quarter-and-fiscal-10" TargetMode="External"/><Relationship Id="rId33" Type="http://schemas.openxmlformats.org/officeDocument/2006/relationships/hyperlink" Target="https://www.gevernova.com/sites/default/files/gev_webcast_pressrelease_07222026.pdf" TargetMode="External"/><Relationship Id="rId34" Type="http://schemas.openxmlformats.org/officeDocument/2006/relationships/hyperlink" Target="https://www.gevernova.com/sites/default/files/gev_webcast_pressrelease_07222026.pdf" TargetMode="External"/><Relationship Id="rId35" Type="http://schemas.openxmlformats.org/officeDocument/2006/relationships/hyperlink" Target="https://www.gevernova.com/sites/default/files/gev_webcast_pressrelease_07222026.pdf" TargetMode="External"/><Relationship Id="rId36" Type="http://schemas.openxmlformats.org/officeDocument/2006/relationships/hyperlink" Target="https://news.cnyes.com/news/id/6603050" TargetMode="External"/><Relationship Id="rId37" Type="http://schemas.openxmlformats.org/officeDocument/2006/relationships/hyperlink" Target="https://news.cnyes.com/news/id/6603050" TargetMode="External"/><Relationship Id="rId38" Type="http://schemas.openxmlformats.org/officeDocument/2006/relationships/hyperlink" Target="https://news.ustv.com.tw/newsdetail/20260902A001020" TargetMode="External"/><Relationship Id="rId39" Type="http://schemas.openxmlformats.org/officeDocument/2006/relationships/hyperlink" Target="https://news.ustv.com.tw/newsdetail/20260902A001020" TargetMode="External"/><Relationship Id="rId40" Type="http://schemas.openxmlformats.org/officeDocument/2006/relationships/hyperlink" Target="https://udn.com/news/story/7252/9741093" TargetMode="External"/><Relationship Id="rId41" Type="http://schemas.openxmlformats.org/officeDocument/2006/relationships/hyperlink" Target="https://udn.com/news/story/7252/9741093" TargetMode="External"/><Relationship Id="rId42" Type="http://schemas.openxmlformats.org/officeDocument/2006/relationships/hyperlink" Target="https://news.cnyes.com/news/id/6597602" TargetMode="External"/><Relationship Id="rId43" Type="http://schemas.openxmlformats.org/officeDocument/2006/relationships/hyperlink" Target="https://news.cnyes.com/news/id/6597602" TargetMode="External"/><Relationship Id="rId44" Type="http://schemas.openxmlformats.org/officeDocument/2006/relationships/hyperlink" Target="https://m.cnyes.com/news/id/6597745" TargetMode="External"/><Relationship Id="rId45" Type="http://schemas.openxmlformats.org/officeDocument/2006/relationships/hyperlink" Target="https://m.cnyes.com/news/id/6597745" TargetMode="External"/><Relationship Id="rId46" Type="http://schemas.openxmlformats.org/officeDocument/2006/relationships/hyperlink" Target="https://news.cnyes.com/news/id/6600144" TargetMode="External"/><Relationship Id="rId47" Type="http://schemas.openxmlformats.org/officeDocument/2006/relationships/hyperlink" Target="https://news.cnyes.com/news/id/6600144" TargetMode="External"/><Relationship Id="rId48" Type="http://schemas.openxmlformats.org/officeDocument/2006/relationships/hyperlink" Target="https://www.ctee.com.tw/news/20260908701262-430502" TargetMode="External"/><Relationship Id="rId49" Type="http://schemas.openxmlformats.org/officeDocument/2006/relationships/hyperlink" Target="https://www.ctee.com.tw/news/20260908701262-430502" TargetMode="External"/><Relationship Id="rId50" Type="http://schemas.openxmlformats.org/officeDocument/2006/relationships/hyperlink" Target="https://www.chinatimes.com/realtimenews/20260905002223-260410" TargetMode="External"/><Relationship Id="rId51" Type="http://schemas.openxmlformats.org/officeDocument/2006/relationships/hyperlink" Target="https://www.chinatimes.com/realtimenews/20260905002223-260410" TargetMode="External"/><Relationship Id="rId52" Type="http://schemas.openxmlformats.org/officeDocument/2006/relationships/hyperlink" Target="https://investors.broadcom.com/static-files/96641754-401f-4090-a4ab-210728c83a28" TargetMode="External"/><Relationship Id="rId53" Type="http://schemas.openxmlformats.org/officeDocument/2006/relationships/hyperlink" Target="https://investors.broadcom.com/static-files/96641754-401f-4090-a4ab-210728c83a28" TargetMode="External"/><Relationship Id="rId54" Type="http://schemas.openxmlformats.org/officeDocument/2006/relationships/hyperlink" Target="https://www.sec.gov/Archives/edgar/data/1596532/000159653226000175/anet-20260630.htm" TargetMode="External"/><Relationship Id="rId55" Type="http://schemas.openxmlformats.org/officeDocument/2006/relationships/hyperlink" Target="https://www.sec.gov/Archives/edgar/data/1596532/000159653226000175/anet-20260630.htm" TargetMode="External"/><Relationship Id="rId56" Type="http://schemas.openxmlformats.org/officeDocument/2006/relationships/hyperlink" Target="https://www.sec.gov/Archives/edgar/data/1596532/000159653226000175/anet-20260630.htm" TargetMode="External"/><Relationship Id="rId57" Type="http://schemas.openxmlformats.org/officeDocument/2006/relationships/hyperlink" Target="https://www.foxbusiness.com/economy/federal-reserve-interest-rate-decision-september-16-2026" TargetMode="External"/><Relationship Id="rId58" Type="http://schemas.openxmlformats.org/officeDocument/2006/relationships/hyperlink" Target="https://www.federalreserve.gov/monetarypolicy/fomcprojtabl20260916.htm" TargetMode="External"/><Relationship Id="rId59" Type="http://schemas.openxmlformats.org/officeDocument/2006/relationships/hyperlink" Target="https://www.bls.gov/news.release/empsit.htm" TargetMode="External"/><Relationship Id="rId60" Type="http://schemas.openxmlformats.org/officeDocument/2006/relationships/hyperlink" Target="https://www.trendforce.com/presscenter/news/20260825-13198.html" TargetMode="External"/><Relationship Id="rId61" Type="http://schemas.openxmlformats.org/officeDocument/2006/relationships/hyperlink" Target="https://www.trendforce.com/presscenter/news/20260929-13255.html" TargetMode="External"/><Relationship Id="rId62" Type="http://schemas.openxmlformats.org/officeDocument/2006/relationships/hyperlink" Target="https://aiweekly.co/alerts/nvidia-tests-lower-memory-rubin-ultra-variants-amid-hbm-squeeze" TargetMode="External"/><Relationship Id="rId63" Type="http://schemas.openxmlformats.org/officeDocument/2006/relationships/hyperlink" Target="https://www.trendforce.com/presscenter/news/20260901-13210.html" TargetMode="External"/><Relationship Id="rId64" Type="http://schemas.openxmlformats.org/officeDocument/2006/relationships/hyperlink" Target="https://www.trendforce.com/presscenter/news/20260827-13202.html" TargetMode="External"/><Relationship Id="rId65" Type="http://schemas.openxmlformats.org/officeDocument/2006/relationships/hyperlink" Target="https://insights.trendforce.com/p/agentic-ai-cpu-gpu" TargetMode="External"/><Relationship Id="rId66" Type="http://schemas.openxmlformats.org/officeDocument/2006/relationships/hyperlink" Target="https://www.forbes.com/sites/maryroeloffs/2026/09/30/metas-muse-ai-assistant-hits-5-million-downloads-outpacing-growth-of-chatgpt-grok-and-claude/" TargetMode="External"/><Relationship Id="rId67" Type="http://schemas.openxmlformats.org/officeDocument/2006/relationships/hyperlink" Target="https://www.apple.com/newsroom/2026/09/apple-unveils-iphone-duo/" TargetMode="External"/><Relationship Id="rId68" Type="http://schemas.openxmlformats.org/officeDocument/2006/relationships/hyperlink" Target="https://www.iclarified.com/102501/apple-targets-october-13-for-smart-home-hub-new-homepod-mini-and-apple-tv-gurman" TargetMode="External"/><Relationship Id="rId69" Type="http://schemas.openxmlformats.org/officeDocument/2006/relationships/hyperlink" Target="https://openai.com/index/introducing-dots/" TargetMode="External"/><Relationship Id="rId70" Type="http://schemas.openxmlformats.org/officeDocument/2006/relationships/hyperlink" Target="https://www.marvell.com/company/events.html" TargetMode="External"/><Relationship Id="rId71" Type="http://schemas.openxmlformats.org/officeDocument/2006/relationships/hyperlink" Target="https://www.investing.com/news/stock-market-news/tsmc-evaluates-potential-texas-investment-sources-say-4924436" TargetMode="External"/><Relationship Id="rId72" Type="http://schemas.openxmlformats.org/officeDocument/2006/relationships/hyperlink" Target="https://investor.tsmc.com/english/financial-calendar" TargetMode="External"/><Relationship Id="rId73" Type="http://schemas.openxmlformats.org/officeDocument/2006/relationships/hyperlink" Target="https://job.mynavi.jp/27/pc/search/corp287907/outline.html" TargetMode="External"/><Relationship Id="rId74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investors.broadcom.com/static-files/96641754-401f-4090-a4ab-210728c83a28" TargetMode="External"/><Relationship Id="rId2" Type="http://schemas.openxmlformats.org/officeDocument/2006/relationships/hyperlink" Target="https://www.sec.gov/Archives/edgar/data/1596532/000159653226000175/anet-20260630.htm" TargetMode="External"/><Relationship Id="rId3" Type="http://schemas.openxmlformats.org/officeDocument/2006/relationships/hyperlink" Target="https://openai.com/index/introducing-dots/" TargetMode="External"/><Relationship Id="rId4" Type="http://schemas.openxmlformats.org/officeDocument/2006/relationships/hyperlink" Target="https://www.forbes.com/sites/maryroeloffs/2026/09/30/metas-muse-ai-assistant-hits-5-million-downloads-outpacing-growth-of-chatgpt-grok-and-claude/" TargetMode="External"/><Relationship Id="rId5" Type="http://schemas.openxmlformats.org/officeDocument/2006/relationships/hyperlink" Target="https://openai.com/index/introducing-dots/" TargetMode="External"/><Relationship Id="rId6" Type="http://schemas.openxmlformats.org/officeDocument/2006/relationships/hyperlink" Target="https://www.sec.gov/Archives/edgar/data/1596532/000159653226000175/anet-20260630.htm" TargetMode="External"/><Relationship Id="rId7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21" hidden="false" customHeight="true" outlineLevel="0" collapsed="false">
      <c r="A1" s="2" t="s">
        <v>0</v>
      </c>
    </row>
    <row r="2" customFormat="false" ht="63.75" hidden="false" customHeight="true" outlineLevel="0" collapsed="false">
      <c r="A2" s="3" t="s">
        <v>1</v>
      </c>
    </row>
    <row r="3" customFormat="false" ht="48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6.5" hidden="false" customHeight="true" outlineLevel="0" collapsed="false">
      <c r="A5" s="4" t="s">
        <v>3</v>
      </c>
    </row>
    <row r="6" customFormat="false" ht="32.25" hidden="false" customHeight="true" outlineLevel="0" collapsed="false">
      <c r="A6" s="3" t="s">
        <v>4</v>
      </c>
    </row>
    <row r="7" customFormat="false" ht="32.25" hidden="false" customHeight="true" outlineLevel="0" collapsed="false">
      <c r="A7" s="3" t="s">
        <v>5</v>
      </c>
    </row>
    <row r="8" customFormat="false" ht="48" hidden="false" customHeight="true" outlineLevel="0" collapsed="false">
      <c r="A8" s="3" t="s">
        <v>6</v>
      </c>
    </row>
    <row r="9" customFormat="false" ht="95.25" hidden="false" customHeight="true" outlineLevel="0" collapsed="false">
      <c r="A9" s="3" t="s">
        <v>7</v>
      </c>
    </row>
    <row r="10" customFormat="false" ht="79.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16.5" hidden="false" customHeight="tru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  <c r="B13" s="6" t="s">
        <v>11</v>
      </c>
    </row>
    <row r="14" customFormat="false" ht="15" hidden="false" customHeight="true" outlineLevel="0" collapsed="false">
      <c r="A14" s="5" t="s">
        <v>12</v>
      </c>
      <c r="B14" s="6" t="s">
        <v>13</v>
      </c>
    </row>
    <row r="15" customFormat="false" ht="15" hidden="false" customHeight="true" outlineLevel="0" collapsed="false">
      <c r="A15" s="5" t="s">
        <v>14</v>
      </c>
      <c r="B15" s="6" t="s">
        <v>15</v>
      </c>
    </row>
    <row r="16" customFormat="false" ht="15" hidden="false" customHeight="true" outlineLevel="0" collapsed="false">
      <c r="A16" s="5" t="s">
        <v>16</v>
      </c>
      <c r="B16" s="6" t="s">
        <v>17</v>
      </c>
    </row>
    <row r="17" customFormat="false" ht="15" hidden="false" customHeight="true" outlineLevel="0" collapsed="false">
      <c r="A17" s="5" t="s">
        <v>18</v>
      </c>
      <c r="B17" s="6" t="s">
        <v>19</v>
      </c>
    </row>
    <row r="18" customFormat="false" ht="15" hidden="false" customHeight="true" outlineLevel="0" collapsed="false">
      <c r="A18" s="5" t="s">
        <v>20</v>
      </c>
      <c r="B18" s="6" t="s">
        <v>21</v>
      </c>
    </row>
    <row r="19" customFormat="false" ht="15" hidden="false" customHeight="true" outlineLevel="0" collapsed="false">
      <c r="A19" s="5" t="s">
        <v>22</v>
      </c>
      <c r="B19" s="6" t="s">
        <v>23</v>
      </c>
    </row>
    <row r="20" customFormat="false" ht="15" hidden="false" customHeight="true" outlineLevel="0" collapsed="false">
      <c r="A20" s="5" t="s">
        <v>24</v>
      </c>
      <c r="B20" s="6" t="s">
        <v>25</v>
      </c>
    </row>
    <row r="21" customFormat="false" ht="15" hidden="false" customHeight="true" outlineLevel="0" collapsed="false">
      <c r="A21" s="5" t="s">
        <v>26</v>
      </c>
      <c r="B21" s="6" t="s">
        <v>27</v>
      </c>
    </row>
    <row r="22" customFormat="false" ht="15" hidden="false" customHeight="true" outlineLevel="0" collapsed="false">
      <c r="A22" s="5" t="s">
        <v>28</v>
      </c>
      <c r="B22" s="6" t="s">
        <v>29</v>
      </c>
    </row>
    <row r="23" customFormat="false" ht="15" hidden="false" customHeight="true" outlineLevel="0" collapsed="false">
      <c r="A23" s="5" t="s">
        <v>30</v>
      </c>
      <c r="B23" s="6" t="s">
        <v>31</v>
      </c>
    </row>
    <row r="25" customFormat="false" ht="15" hidden="false" customHeight="true" outlineLevel="0" collapsed="false">
      <c r="A25" s="7" t="s">
        <v>32</v>
      </c>
    </row>
    <row r="26" customFormat="false" ht="15" hidden="false" customHeight="true" outlineLevel="0" collapsed="false">
      <c r="A26" s="6" t="s">
        <v>33</v>
      </c>
      <c r="B26" s="6" t="n">
        <f aca="false">COUNTA(Evidence_Ledger!A2:A500)</f>
        <v>83</v>
      </c>
    </row>
    <row r="27" customFormat="false" ht="15" hidden="false" customHeight="true" outlineLevel="0" collapsed="false">
      <c r="A27" s="6" t="s">
        <v>34</v>
      </c>
      <c r="B27" s="6" t="n">
        <f aca="false">COUNTIF(Evidence_Ledger!J2:J500,"已開原文")</f>
        <v>17</v>
      </c>
    </row>
    <row r="28" customFormat="false" ht="15" hidden="false" customHeight="true" outlineLevel="0" collapsed="false">
      <c r="A28" s="6" t="s">
        <v>35</v>
      </c>
      <c r="B28" s="6" t="n">
        <f aca="false">COUNTIF(Evidence_Ledger!J2:J500,"僅摘要")</f>
        <v>55</v>
      </c>
    </row>
    <row r="29" customFormat="false" ht="15" hidden="false" customHeight="true" outlineLevel="0" collapsed="false">
      <c r="A29" s="6" t="s">
        <v>36</v>
      </c>
      <c r="B29" s="6" t="n">
        <f aca="false">COUNTIF(Evidence_Ledger!J2:J500,"轉述")</f>
        <v>1</v>
      </c>
    </row>
    <row r="30" customFormat="false" ht="15" hidden="false" customHeight="true" outlineLevel="0" collapsed="false">
      <c r="A30" s="6" t="s">
        <v>37</v>
      </c>
      <c r="B30" s="6" t="n">
        <f aca="false">COUNTIF(Evidence_Ledger!J2:J500,"未查")</f>
        <v>10</v>
      </c>
    </row>
    <row r="32" customFormat="false" ht="15" hidden="false" customHeight="false" outlineLevel="0" collapsed="false">
      <c r="A32" s="8" t="s">
        <v>38</v>
      </c>
    </row>
    <row r="33" customFormat="false" ht="17.15" hidden="false" customHeight="false" outlineLevel="0" collapsed="false">
      <c r="A33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48"/>
  </cols>
  <sheetData>
    <row r="1" customFormat="false" ht="32.25" hidden="false" customHeight="true" outlineLevel="0" collapsed="false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</row>
    <row r="2" customFormat="false" ht="16.5" hidden="false" customHeight="true" outlineLevel="0" collapsed="false">
      <c r="A2" s="11" t="s">
        <v>48</v>
      </c>
      <c r="B2" s="12" t="s">
        <v>49</v>
      </c>
      <c r="C2" s="12" t="s">
        <v>50</v>
      </c>
      <c r="D2" s="12" t="s">
        <v>51</v>
      </c>
      <c r="E2" s="12" t="s">
        <v>52</v>
      </c>
      <c r="F2" s="11" t="s">
        <v>53</v>
      </c>
      <c r="G2" s="11" t="s">
        <v>54</v>
      </c>
      <c r="H2" s="13"/>
    </row>
    <row r="3" customFormat="false" ht="16.5" hidden="false" customHeight="true" outlineLevel="0" collapsed="false">
      <c r="A3" s="11" t="s">
        <v>55</v>
      </c>
      <c r="B3" s="11" t="s">
        <v>56</v>
      </c>
      <c r="C3" s="12" t="s">
        <v>50</v>
      </c>
      <c r="D3" s="12" t="s">
        <v>57</v>
      </c>
      <c r="E3" s="12" t="s">
        <v>52</v>
      </c>
      <c r="F3" s="11" t="s">
        <v>53</v>
      </c>
      <c r="G3" s="11" t="s">
        <v>58</v>
      </c>
      <c r="H3" s="12" t="s">
        <v>59</v>
      </c>
    </row>
    <row r="4" customFormat="false" ht="16.5" hidden="false" customHeight="true" outlineLevel="0" collapsed="false">
      <c r="A4" s="11" t="s">
        <v>60</v>
      </c>
      <c r="B4" s="12" t="s">
        <v>61</v>
      </c>
      <c r="C4" s="12" t="s">
        <v>62</v>
      </c>
      <c r="D4" s="12" t="s">
        <v>63</v>
      </c>
      <c r="E4" s="12" t="s">
        <v>52</v>
      </c>
      <c r="F4" s="12" t="s">
        <v>64</v>
      </c>
      <c r="G4" s="11" t="s">
        <v>65</v>
      </c>
      <c r="H4" s="13"/>
    </row>
    <row r="5" customFormat="false" ht="16.5" hidden="false" customHeight="true" outlineLevel="0" collapsed="false">
      <c r="A5" s="11" t="s">
        <v>66</v>
      </c>
      <c r="B5" s="11" t="s">
        <v>67</v>
      </c>
      <c r="C5" s="12" t="s">
        <v>50</v>
      </c>
      <c r="D5" s="12" t="s">
        <v>68</v>
      </c>
      <c r="E5" s="12" t="s">
        <v>52</v>
      </c>
      <c r="F5" s="11" t="s">
        <v>53</v>
      </c>
      <c r="G5" s="11" t="s">
        <v>69</v>
      </c>
      <c r="H5" s="12" t="s">
        <v>70</v>
      </c>
    </row>
    <row r="6" customFormat="false" ht="16.5" hidden="false" customHeight="true" outlineLevel="0" collapsed="false">
      <c r="A6" s="11" t="s">
        <v>71</v>
      </c>
      <c r="B6" s="11" t="s">
        <v>72</v>
      </c>
      <c r="C6" s="12" t="s">
        <v>50</v>
      </c>
      <c r="D6" s="12" t="s">
        <v>73</v>
      </c>
      <c r="E6" s="12" t="s">
        <v>52</v>
      </c>
      <c r="F6" s="12" t="s">
        <v>64</v>
      </c>
      <c r="G6" s="11" t="s">
        <v>74</v>
      </c>
      <c r="H6" s="13"/>
    </row>
    <row r="7" customFormat="false" ht="16.5" hidden="false" customHeight="true" outlineLevel="0" collapsed="false">
      <c r="A7" s="11" t="s">
        <v>75</v>
      </c>
      <c r="B7" s="11" t="s">
        <v>76</v>
      </c>
      <c r="C7" s="12" t="s">
        <v>50</v>
      </c>
      <c r="D7" s="12" t="s">
        <v>77</v>
      </c>
      <c r="E7" s="12" t="s">
        <v>52</v>
      </c>
      <c r="F7" s="12" t="s">
        <v>64</v>
      </c>
      <c r="G7" s="11" t="s">
        <v>74</v>
      </c>
      <c r="H7" s="13"/>
    </row>
    <row r="8" customFormat="false" ht="16.5" hidden="false" customHeight="true" outlineLevel="0" collapsed="false">
      <c r="A8" s="11" t="s">
        <v>78</v>
      </c>
      <c r="B8" s="11" t="s">
        <v>79</v>
      </c>
      <c r="C8" s="12" t="s">
        <v>50</v>
      </c>
      <c r="D8" s="11" t="s">
        <v>80</v>
      </c>
      <c r="E8" s="12" t="s">
        <v>52</v>
      </c>
      <c r="F8" s="12" t="s">
        <v>64</v>
      </c>
      <c r="G8" s="11" t="s">
        <v>65</v>
      </c>
      <c r="H8" s="11" t="s">
        <v>81</v>
      </c>
    </row>
    <row r="9" customFormat="false" ht="16.5" hidden="false" customHeight="true" outlineLevel="0" collapsed="false">
      <c r="A9" s="11" t="s">
        <v>82</v>
      </c>
      <c r="B9" s="11" t="s">
        <v>83</v>
      </c>
      <c r="C9" s="12" t="s">
        <v>50</v>
      </c>
      <c r="D9" s="12" t="s">
        <v>84</v>
      </c>
      <c r="E9" s="12" t="s">
        <v>52</v>
      </c>
      <c r="F9" s="12" t="s">
        <v>64</v>
      </c>
      <c r="G9" s="11" t="s">
        <v>65</v>
      </c>
      <c r="H9" s="13"/>
    </row>
    <row r="10" customFormat="false" ht="16.5" hidden="false" customHeight="true" outlineLevel="0" collapsed="false">
      <c r="A10" s="11" t="s">
        <v>85</v>
      </c>
      <c r="B10" s="11" t="s">
        <v>86</v>
      </c>
      <c r="C10" s="12" t="s">
        <v>50</v>
      </c>
      <c r="D10" s="12" t="s">
        <v>87</v>
      </c>
      <c r="E10" s="12" t="s">
        <v>52</v>
      </c>
      <c r="F10" s="12" t="s">
        <v>64</v>
      </c>
      <c r="G10" s="11" t="s">
        <v>65</v>
      </c>
      <c r="H10" s="12" t="s">
        <v>88</v>
      </c>
    </row>
    <row r="11" customFormat="false" ht="16.5" hidden="false" customHeight="true" outlineLevel="0" collapsed="false">
      <c r="A11" s="11" t="s">
        <v>89</v>
      </c>
      <c r="B11" s="11" t="s">
        <v>90</v>
      </c>
      <c r="C11" s="12" t="s">
        <v>50</v>
      </c>
      <c r="D11" s="12" t="s">
        <v>91</v>
      </c>
      <c r="E11" s="12" t="s">
        <v>52</v>
      </c>
      <c r="F11" s="12" t="s">
        <v>64</v>
      </c>
      <c r="G11" s="11" t="s">
        <v>65</v>
      </c>
      <c r="H11" s="13"/>
    </row>
    <row r="12" customFormat="false" ht="16.5" hidden="false" customHeight="true" outlineLevel="0" collapsed="false">
      <c r="A12" s="11" t="s">
        <v>92</v>
      </c>
      <c r="B12" s="11" t="s">
        <v>93</v>
      </c>
      <c r="C12" s="12" t="s">
        <v>94</v>
      </c>
      <c r="D12" s="12" t="s">
        <v>95</v>
      </c>
      <c r="E12" s="12" t="s">
        <v>52</v>
      </c>
      <c r="F12" s="12" t="s">
        <v>64</v>
      </c>
      <c r="G12" s="11" t="s">
        <v>96</v>
      </c>
      <c r="H12" s="13"/>
    </row>
    <row r="13" customFormat="false" ht="16.5" hidden="false" customHeight="true" outlineLevel="0" collapsed="false">
      <c r="A13" s="11" t="s">
        <v>97</v>
      </c>
      <c r="B13" s="11" t="s">
        <v>98</v>
      </c>
      <c r="C13" s="12" t="s">
        <v>50</v>
      </c>
      <c r="D13" s="12" t="s">
        <v>99</v>
      </c>
      <c r="E13" s="12" t="s">
        <v>52</v>
      </c>
      <c r="F13" s="12" t="s">
        <v>64</v>
      </c>
      <c r="G13" s="11" t="s">
        <v>100</v>
      </c>
      <c r="H13" s="13"/>
    </row>
    <row r="14" customFormat="false" ht="16.5" hidden="false" customHeight="true" outlineLevel="0" collapsed="false">
      <c r="A14" s="11" t="s">
        <v>101</v>
      </c>
      <c r="B14" s="11" t="s">
        <v>102</v>
      </c>
      <c r="C14" s="12" t="s">
        <v>50</v>
      </c>
      <c r="D14" s="12" t="s">
        <v>103</v>
      </c>
      <c r="E14" s="12" t="s">
        <v>52</v>
      </c>
      <c r="F14" s="12" t="s">
        <v>64</v>
      </c>
      <c r="G14" s="11" t="s">
        <v>65</v>
      </c>
      <c r="H14" s="13"/>
    </row>
    <row r="15" customFormat="false" ht="16.5" hidden="false" customHeight="true" outlineLevel="0" collapsed="false">
      <c r="A15" s="11" t="s">
        <v>104</v>
      </c>
      <c r="B15" s="12" t="s">
        <v>105</v>
      </c>
      <c r="C15" s="12" t="s">
        <v>62</v>
      </c>
      <c r="D15" s="12" t="s">
        <v>51</v>
      </c>
      <c r="E15" s="12" t="s">
        <v>52</v>
      </c>
      <c r="F15" s="12" t="s">
        <v>64</v>
      </c>
      <c r="G15" s="11" t="s">
        <v>65</v>
      </c>
      <c r="H15" s="13"/>
    </row>
    <row r="16" customFormat="false" ht="16.5" hidden="false" customHeight="true" outlineLevel="0" collapsed="false">
      <c r="A16" s="11" t="s">
        <v>106</v>
      </c>
      <c r="B16" s="12" t="s">
        <v>107</v>
      </c>
      <c r="C16" s="12" t="s">
        <v>62</v>
      </c>
      <c r="D16" s="12" t="s">
        <v>51</v>
      </c>
      <c r="E16" s="12" t="s">
        <v>52</v>
      </c>
      <c r="F16" s="12" t="s">
        <v>64</v>
      </c>
      <c r="G16" s="11" t="s">
        <v>65</v>
      </c>
      <c r="H16" s="13"/>
    </row>
    <row r="17" customFormat="false" ht="16.5" hidden="false" customHeight="true" outlineLevel="0" collapsed="false">
      <c r="A17" s="11" t="s">
        <v>108</v>
      </c>
      <c r="B17" s="12" t="s">
        <v>109</v>
      </c>
      <c r="C17" s="12" t="s">
        <v>62</v>
      </c>
      <c r="D17" s="12" t="s">
        <v>110</v>
      </c>
      <c r="E17" s="12" t="s">
        <v>52</v>
      </c>
      <c r="F17" s="11" t="s">
        <v>111</v>
      </c>
      <c r="G17" s="11" t="s">
        <v>65</v>
      </c>
      <c r="H17" s="12" t="s">
        <v>112</v>
      </c>
    </row>
    <row r="18" customFormat="false" ht="16.5" hidden="false" customHeight="true" outlineLevel="0" collapsed="false">
      <c r="A18" s="11" t="s">
        <v>113</v>
      </c>
      <c r="B18" s="12" t="s">
        <v>114</v>
      </c>
      <c r="C18" s="12" t="s">
        <v>62</v>
      </c>
      <c r="D18" s="12" t="s">
        <v>115</v>
      </c>
      <c r="E18" s="12" t="s">
        <v>52</v>
      </c>
      <c r="F18" s="11" t="s">
        <v>116</v>
      </c>
      <c r="G18" s="11" t="s">
        <v>65</v>
      </c>
      <c r="H18" s="12" t="s">
        <v>117</v>
      </c>
    </row>
    <row r="19" customFormat="false" ht="16.5" hidden="false" customHeight="true" outlineLevel="0" collapsed="false">
      <c r="A19" s="11" t="s">
        <v>118</v>
      </c>
      <c r="B19" s="12" t="s">
        <v>119</v>
      </c>
      <c r="C19" s="12" t="s">
        <v>62</v>
      </c>
      <c r="D19" s="12" t="s">
        <v>120</v>
      </c>
      <c r="E19" s="12" t="s">
        <v>52</v>
      </c>
      <c r="F19" s="11" t="s">
        <v>116</v>
      </c>
      <c r="G19" s="11" t="s">
        <v>65</v>
      </c>
      <c r="H19" s="13"/>
    </row>
    <row r="20" customFormat="false" ht="16.5" hidden="false" customHeight="true" outlineLevel="0" collapsed="false">
      <c r="A20" s="11" t="s">
        <v>121</v>
      </c>
      <c r="B20" s="12" t="s">
        <v>122</v>
      </c>
      <c r="C20" s="12" t="s">
        <v>62</v>
      </c>
      <c r="D20" s="12" t="s">
        <v>120</v>
      </c>
      <c r="E20" s="12" t="s">
        <v>52</v>
      </c>
      <c r="F20" s="11" t="s">
        <v>111</v>
      </c>
      <c r="G20" s="11" t="s">
        <v>65</v>
      </c>
      <c r="H20" s="12" t="s">
        <v>123</v>
      </c>
    </row>
    <row r="21" customFormat="false" ht="16.5" hidden="false" customHeight="true" outlineLevel="0" collapsed="false">
      <c r="A21" s="11" t="s">
        <v>124</v>
      </c>
      <c r="B21" s="12" t="s">
        <v>125</v>
      </c>
      <c r="C21" s="12" t="s">
        <v>62</v>
      </c>
      <c r="D21" s="12" t="s">
        <v>126</v>
      </c>
      <c r="E21" s="12" t="s">
        <v>127</v>
      </c>
      <c r="F21" s="11" t="s">
        <v>128</v>
      </c>
      <c r="G21" s="11" t="s">
        <v>65</v>
      </c>
      <c r="H21" s="12" t="s">
        <v>129</v>
      </c>
    </row>
    <row r="22" customFormat="false" ht="16.5" hidden="false" customHeight="true" outlineLevel="0" collapsed="false">
      <c r="A22" s="11" t="s">
        <v>130</v>
      </c>
      <c r="B22" s="12" t="s">
        <v>131</v>
      </c>
      <c r="C22" s="12" t="s">
        <v>62</v>
      </c>
      <c r="D22" s="12" t="s">
        <v>132</v>
      </c>
      <c r="E22" s="12" t="s">
        <v>133</v>
      </c>
      <c r="F22" s="11" t="s">
        <v>128</v>
      </c>
      <c r="G22" s="11" t="s">
        <v>65</v>
      </c>
      <c r="H22" s="11" t="s">
        <v>134</v>
      </c>
    </row>
    <row r="23" customFormat="false" ht="16.5" hidden="false" customHeight="true" outlineLevel="0" collapsed="false">
      <c r="A23" s="11" t="s">
        <v>135</v>
      </c>
      <c r="B23" s="12" t="s">
        <v>136</v>
      </c>
      <c r="C23" s="12" t="s">
        <v>94</v>
      </c>
      <c r="D23" s="12" t="s">
        <v>137</v>
      </c>
      <c r="E23" s="12" t="s">
        <v>138</v>
      </c>
      <c r="F23" s="12" t="s">
        <v>138</v>
      </c>
      <c r="G23" s="11" t="s">
        <v>96</v>
      </c>
      <c r="H23" s="12" t="s">
        <v>139</v>
      </c>
    </row>
  </sheetData>
  <autoFilter ref="A1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7" min="6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0" min="10" style="1" width="36"/>
    <col collapsed="false" customWidth="true" hidden="false" outlineLevel="0" max="11" min="11" style="1" width="58"/>
    <col collapsed="false" customWidth="true" hidden="false" outlineLevel="0" max="12" min="12" style="1" width="10"/>
    <col collapsed="false" customWidth="true" hidden="false" outlineLevel="0" max="13" min="13" style="1" width="40"/>
  </cols>
  <sheetData>
    <row r="1" customFormat="false" ht="32.25" hidden="false" customHeight="true" outlineLevel="0" collapsed="false">
      <c r="A1" s="10" t="s">
        <v>40</v>
      </c>
      <c r="B1" s="10" t="s">
        <v>140</v>
      </c>
      <c r="C1" s="10" t="s">
        <v>141</v>
      </c>
      <c r="D1" s="10" t="s">
        <v>142</v>
      </c>
      <c r="E1" s="10" t="s">
        <v>143</v>
      </c>
      <c r="F1" s="10" t="s">
        <v>144</v>
      </c>
      <c r="G1" s="10" t="s">
        <v>145</v>
      </c>
      <c r="H1" s="10" t="s">
        <v>146</v>
      </c>
      <c r="I1" s="10" t="s">
        <v>147</v>
      </c>
      <c r="J1" s="10" t="s">
        <v>148</v>
      </c>
      <c r="K1" s="10" t="s">
        <v>149</v>
      </c>
      <c r="L1" s="10" t="s">
        <v>150</v>
      </c>
      <c r="M1" s="10" t="s">
        <v>151</v>
      </c>
    </row>
    <row r="2" customFormat="false" ht="16.5" hidden="false" customHeight="true" outlineLevel="0" collapsed="false">
      <c r="A2" s="11" t="s">
        <v>48</v>
      </c>
      <c r="B2" s="11" t="s">
        <v>152</v>
      </c>
      <c r="C2" s="14" t="n">
        <v>46268</v>
      </c>
      <c r="D2" s="15" t="n">
        <v>542.3</v>
      </c>
      <c r="E2" s="12" t="s">
        <v>153</v>
      </c>
      <c r="F2" s="16" t="n">
        <v>3.79</v>
      </c>
      <c r="G2" s="16" t="n">
        <v>0.31</v>
      </c>
      <c r="H2" s="17"/>
      <c r="I2" s="16" t="n">
        <v>0.87</v>
      </c>
      <c r="J2" s="12" t="s">
        <v>154</v>
      </c>
      <c r="K2" s="12" t="s">
        <v>155</v>
      </c>
      <c r="L2" s="12" t="s">
        <v>35</v>
      </c>
      <c r="M2" s="18" t="s">
        <v>156</v>
      </c>
    </row>
    <row r="3" customFormat="false" ht="32.25" hidden="false" customHeight="true" outlineLevel="0" collapsed="false">
      <c r="A3" s="11" t="s">
        <v>55</v>
      </c>
      <c r="B3" s="11" t="s">
        <v>157</v>
      </c>
      <c r="C3" s="14" t="n">
        <v>46236</v>
      </c>
      <c r="D3" s="15" t="n">
        <v>296</v>
      </c>
      <c r="E3" s="12" t="s">
        <v>153</v>
      </c>
      <c r="F3" s="16" t="n">
        <v>0.86</v>
      </c>
      <c r="G3" s="17"/>
      <c r="H3" s="17"/>
      <c r="I3" s="17"/>
      <c r="J3" s="11" t="s">
        <v>158</v>
      </c>
      <c r="K3" s="11" t="s">
        <v>159</v>
      </c>
      <c r="L3" s="12" t="s">
        <v>34</v>
      </c>
      <c r="M3" s="18" t="s">
        <v>160</v>
      </c>
    </row>
    <row r="4" customFormat="false" ht="32.25" hidden="false" customHeight="true" outlineLevel="0" collapsed="false">
      <c r="A4" s="11" t="s">
        <v>66</v>
      </c>
      <c r="B4" s="11" t="s">
        <v>161</v>
      </c>
      <c r="C4" s="14" t="n">
        <v>46235</v>
      </c>
      <c r="D4" s="15" t="n">
        <v>27.39</v>
      </c>
      <c r="E4" s="12" t="s">
        <v>153</v>
      </c>
      <c r="F4" s="16" t="n">
        <v>0.37</v>
      </c>
      <c r="G4" s="17"/>
      <c r="H4" s="17"/>
      <c r="I4" s="16" t="n">
        <v>0.531</v>
      </c>
      <c r="J4" s="12" t="s">
        <v>162</v>
      </c>
      <c r="K4" s="12" t="s">
        <v>163</v>
      </c>
      <c r="L4" s="12" t="s">
        <v>35</v>
      </c>
      <c r="M4" s="18" t="s">
        <v>164</v>
      </c>
    </row>
    <row r="5" customFormat="false" ht="32.25" hidden="false" customHeight="true" outlineLevel="0" collapsed="false">
      <c r="A5" s="11" t="s">
        <v>71</v>
      </c>
      <c r="B5" s="11" t="s">
        <v>152</v>
      </c>
      <c r="C5" s="14" t="n">
        <v>46200</v>
      </c>
      <c r="D5" s="15" t="n">
        <v>10.063</v>
      </c>
      <c r="E5" s="12" t="s">
        <v>153</v>
      </c>
      <c r="F5" s="16" t="n">
        <v>1.093</v>
      </c>
      <c r="G5" s="16" t="n">
        <v>0.245</v>
      </c>
      <c r="H5" s="17"/>
      <c r="I5" s="16" t="n">
        <v>0.474</v>
      </c>
      <c r="J5" s="12" t="s">
        <v>165</v>
      </c>
      <c r="K5" s="11" t="s">
        <v>166</v>
      </c>
      <c r="L5" s="12" t="s">
        <v>35</v>
      </c>
      <c r="M5" s="18" t="s">
        <v>167</v>
      </c>
    </row>
    <row r="6" customFormat="false" ht="16.5" hidden="false" customHeight="true" outlineLevel="0" collapsed="false">
      <c r="A6" s="11" t="s">
        <v>75</v>
      </c>
      <c r="B6" s="11" t="s">
        <v>152</v>
      </c>
      <c r="C6" s="14" t="n">
        <v>46203</v>
      </c>
      <c r="D6" s="15" t="n">
        <v>20.5</v>
      </c>
      <c r="E6" s="12" t="s">
        <v>153</v>
      </c>
      <c r="F6" s="16" t="n">
        <v>0.34</v>
      </c>
      <c r="G6" s="17"/>
      <c r="H6" s="17"/>
      <c r="I6" s="16" t="n">
        <v>0.385</v>
      </c>
      <c r="J6" s="13"/>
      <c r="K6" s="12" t="s">
        <v>168</v>
      </c>
      <c r="L6" s="12" t="s">
        <v>35</v>
      </c>
      <c r="M6" s="18" t="s">
        <v>169</v>
      </c>
    </row>
    <row r="7" customFormat="false" ht="32.25" hidden="false" customHeight="true" outlineLevel="0" collapsed="false">
      <c r="A7" s="11" t="s">
        <v>78</v>
      </c>
      <c r="B7" s="11" t="s">
        <v>170</v>
      </c>
      <c r="C7" s="14" t="n">
        <v>46203</v>
      </c>
      <c r="D7" s="15" t="n">
        <v>30.36</v>
      </c>
      <c r="E7" s="12" t="s">
        <v>153</v>
      </c>
      <c r="F7" s="16" t="n">
        <v>0.377</v>
      </c>
      <c r="G7" s="16" t="n">
        <v>0.121</v>
      </c>
      <c r="H7" s="17"/>
      <c r="I7" s="17"/>
      <c r="J7" s="12" t="s">
        <v>171</v>
      </c>
      <c r="K7" s="11" t="s">
        <v>172</v>
      </c>
      <c r="L7" s="12" t="s">
        <v>34</v>
      </c>
      <c r="M7" s="18" t="s">
        <v>173</v>
      </c>
    </row>
    <row r="8" customFormat="false" ht="16.5" hidden="false" customHeight="true" outlineLevel="0" collapsed="false">
      <c r="A8" s="11" t="s">
        <v>82</v>
      </c>
      <c r="B8" s="11" t="s">
        <v>170</v>
      </c>
      <c r="C8" s="14" t="n">
        <v>46203</v>
      </c>
      <c r="D8" s="15" t="n">
        <v>32.74</v>
      </c>
      <c r="E8" s="12" t="s">
        <v>153</v>
      </c>
      <c r="F8" s="16" t="n">
        <v>0.24</v>
      </c>
      <c r="G8" s="17"/>
      <c r="H8" s="16" t="n">
        <v>0.18</v>
      </c>
      <c r="I8" s="17"/>
      <c r="J8" s="12" t="s">
        <v>174</v>
      </c>
      <c r="K8" s="12" t="s">
        <v>175</v>
      </c>
      <c r="L8" s="12" t="s">
        <v>35</v>
      </c>
      <c r="M8" s="18" t="s">
        <v>176</v>
      </c>
    </row>
    <row r="9" customFormat="false" ht="16.5" hidden="false" customHeight="true" outlineLevel="0" collapsed="false">
      <c r="A9" s="11" t="s">
        <v>85</v>
      </c>
      <c r="B9" s="11" t="s">
        <v>170</v>
      </c>
      <c r="C9" s="14" t="n">
        <v>46203</v>
      </c>
      <c r="D9" s="15" t="n">
        <v>85</v>
      </c>
      <c r="E9" s="12" t="s">
        <v>153</v>
      </c>
      <c r="F9" s="16" t="n">
        <v>0.21</v>
      </c>
      <c r="G9" s="17"/>
      <c r="H9" s="16" t="n">
        <v>0.14</v>
      </c>
      <c r="I9" s="17"/>
      <c r="J9" s="12" t="s">
        <v>177</v>
      </c>
      <c r="K9" s="12" t="s">
        <v>178</v>
      </c>
      <c r="L9" s="12" t="s">
        <v>35</v>
      </c>
      <c r="M9" s="18" t="s">
        <v>179</v>
      </c>
    </row>
    <row r="10" customFormat="false" ht="16.5" hidden="false" customHeight="true" outlineLevel="0" collapsed="false">
      <c r="A10" s="11" t="s">
        <v>89</v>
      </c>
      <c r="B10" s="11" t="s">
        <v>170</v>
      </c>
      <c r="C10" s="14" t="n">
        <v>46203</v>
      </c>
      <c r="D10" s="15" t="n">
        <v>87.58</v>
      </c>
      <c r="E10" s="12" t="s">
        <v>153</v>
      </c>
      <c r="F10" s="16" t="n">
        <v>0.55</v>
      </c>
      <c r="G10" s="17"/>
      <c r="H10" s="16" t="n">
        <v>0.3</v>
      </c>
      <c r="I10" s="17"/>
      <c r="J10" s="11" t="s">
        <v>180</v>
      </c>
      <c r="K10" s="12" t="s">
        <v>181</v>
      </c>
      <c r="L10" s="12" t="s">
        <v>35</v>
      </c>
      <c r="M10" s="18" t="s">
        <v>182</v>
      </c>
    </row>
    <row r="11" customFormat="false" ht="16.5" hidden="false" customHeight="true" outlineLevel="0" collapsed="false">
      <c r="A11" s="11" t="s">
        <v>92</v>
      </c>
      <c r="B11" s="11" t="s">
        <v>183</v>
      </c>
      <c r="C11" s="14" t="n">
        <v>46203</v>
      </c>
      <c r="D11" s="15" t="n">
        <v>3675</v>
      </c>
      <c r="E11" s="12" t="s">
        <v>184</v>
      </c>
      <c r="F11" s="16" t="n">
        <v>0.393</v>
      </c>
      <c r="G11" s="17"/>
      <c r="H11" s="17"/>
      <c r="I11" s="16" t="n">
        <v>0.695</v>
      </c>
      <c r="J11" s="12" t="s">
        <v>185</v>
      </c>
      <c r="K11" s="12" t="s">
        <v>186</v>
      </c>
      <c r="L11" s="12" t="s">
        <v>35</v>
      </c>
      <c r="M11" s="18" t="s">
        <v>187</v>
      </c>
    </row>
    <row r="12" customFormat="false" ht="32.25" hidden="false" customHeight="true" outlineLevel="0" collapsed="false">
      <c r="A12" s="11" t="s">
        <v>97</v>
      </c>
      <c r="B12" s="11" t="s">
        <v>152</v>
      </c>
      <c r="C12" s="14" t="n">
        <v>46234</v>
      </c>
      <c r="D12" s="15" t="n">
        <v>34.1</v>
      </c>
      <c r="E12" s="12" t="s">
        <v>153</v>
      </c>
      <c r="F12" s="16" t="n">
        <v>0.34</v>
      </c>
      <c r="G12" s="17"/>
      <c r="H12" s="17"/>
      <c r="I12" s="16" t="n">
        <v>0.748</v>
      </c>
      <c r="J12" s="12" t="s">
        <v>188</v>
      </c>
      <c r="K12" s="12" t="s">
        <v>189</v>
      </c>
      <c r="L12" s="12" t="s">
        <v>35</v>
      </c>
      <c r="M12" s="18" t="s">
        <v>190</v>
      </c>
    </row>
    <row r="13" customFormat="false" ht="29.25" hidden="false" customHeight="true" outlineLevel="0" collapsed="false">
      <c r="A13" s="11" t="s">
        <v>101</v>
      </c>
      <c r="B13" s="11" t="s">
        <v>170</v>
      </c>
      <c r="C13" s="14" t="n">
        <v>46203</v>
      </c>
      <c r="D13" s="15" t="n">
        <v>111</v>
      </c>
      <c r="E13" s="12" t="s">
        <v>153</v>
      </c>
      <c r="F13" s="16" t="n">
        <v>0.22</v>
      </c>
      <c r="G13" s="17"/>
      <c r="H13" s="16" t="n">
        <v>0.12</v>
      </c>
      <c r="I13" s="17"/>
      <c r="J13" s="12" t="s">
        <v>191</v>
      </c>
      <c r="K13" s="12" t="s">
        <v>192</v>
      </c>
      <c r="L13" s="12" t="s">
        <v>35</v>
      </c>
      <c r="M13" s="18" t="s">
        <v>193</v>
      </c>
    </row>
  </sheetData>
  <autoFilter ref="A1:M13"/>
  <hyperlinks>
    <hyperlink ref="M2" r:id="rId1" display="https://news.cnyes.com/news/id/6619198"/>
    <hyperlink ref="M3" r:id="rId2" display="https://investors.broadcom.com/static-files/96641754-401f-4090-a4ab-210728c83a28"/>
    <hyperlink ref="M4" r:id="rId3" display="https://www.sec.gov/Archives/edgar/data/0001835632/000183563226000022/q227_8kx812026ex-991.htm"/>
    <hyperlink ref="M5" r:id="rId4" display="https://investor.lumentum.com/financial-news-releases/news-details/2026/Lumentum-Announces-Fourth-Quarter-and-Full-Fiscal-Year-2026-Results/default.aspx"/>
    <hyperlink ref="M6" r:id="rId5" display="https://www.coherent.com/news/press-releases/fourth-quarter-and-fiscal-year-2026-results"/>
    <hyperlink ref="M7" r:id="rId6" display="https://www.sec.gov/Archives/edgar/data/1596532/000159653226000175/anet-20260630.htm"/>
    <hyperlink ref="M8" r:id="rId7" display="https://investors.vertiv.com/news/news-details/2026/Vertiv-Reports-Strong-Second-Quarter-2026-with-Diluted-EPS-Growth-of-53-Adjusted-Diluted-EPS-Growth-of-60-Raises-Full-Year-2026-Guidance-Across-All-Key-Metrics/default.aspx"/>
    <hyperlink ref="M9" r:id="rId8" display="https://www.businesswire.com/news/home/20260730561562/en/Eaton-Reports-Record-Second-Quarter-2026-Results-with-Strong-Organic-Growth-Accelerating-Orders-and-Backlog-and-Raises-Organic-Growth-Guidance"/>
    <hyperlink ref="M10" r:id="rId9" display="https://www.sec.gov/Archives/edgar/data/0000820313/000110465926087904/aph-20260729xex99d1.htm"/>
    <hyperlink ref="M11" r:id="rId10" display="https://www.advantest.com/document/en/investors/ir-library/result/E_FR_FY2026_1Q.pdf"/>
    <hyperlink ref="M12" r:id="rId11" display="https://investors.paloaltonetworks.com/news-releases/news-release-details/palo-alto-networks-reports-fiscal-fourth-quarter-and-fiscal-10"/>
    <hyperlink ref="M13" r:id="rId12" display="https://www.gevernova.com/sites/default/files/gev_webcast_pressrelease_0722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0"/>
    <col collapsed="false" customWidth="true" hidden="false" outlineLevel="0" max="4" min="4" style="1" width="13"/>
    <col collapsed="false" customWidth="true" hidden="false" outlineLevel="0" max="6" min="5" style="1" width="9"/>
    <col collapsed="false" customWidth="true" hidden="false" outlineLevel="0" max="7" min="7" style="1" width="10"/>
    <col collapsed="false" customWidth="true" hidden="false" outlineLevel="0" max="8" min="8" style="1" width="46"/>
    <col collapsed="false" customWidth="true" hidden="false" outlineLevel="0" max="9" min="9" style="1" width="10"/>
    <col collapsed="false" customWidth="true" hidden="false" outlineLevel="0" max="10" min="10" style="1" width="40"/>
  </cols>
  <sheetData>
    <row r="1" customFormat="false" ht="32.25" hidden="false" customHeight="true" outlineLevel="0" collapsed="false">
      <c r="A1" s="10" t="s">
        <v>40</v>
      </c>
      <c r="B1" s="10" t="s">
        <v>41</v>
      </c>
      <c r="C1" s="10" t="s">
        <v>194</v>
      </c>
      <c r="D1" s="10" t="s">
        <v>195</v>
      </c>
      <c r="E1" s="10" t="s">
        <v>144</v>
      </c>
      <c r="F1" s="10" t="s">
        <v>196</v>
      </c>
      <c r="G1" s="10" t="s">
        <v>197</v>
      </c>
      <c r="H1" s="10" t="s">
        <v>47</v>
      </c>
      <c r="I1" s="10" t="s">
        <v>150</v>
      </c>
      <c r="J1" s="10" t="s">
        <v>151</v>
      </c>
    </row>
    <row r="2" customFormat="false" ht="16.5" hidden="false" customHeight="true" outlineLevel="0" collapsed="false">
      <c r="A2" s="11" t="s">
        <v>198</v>
      </c>
      <c r="B2" s="12" t="s">
        <v>199</v>
      </c>
      <c r="C2" s="11" t="s">
        <v>200</v>
      </c>
      <c r="D2" s="15" t="n">
        <v>5148.05</v>
      </c>
      <c r="E2" s="16" t="n">
        <v>0.533</v>
      </c>
      <c r="F2" s="16" t="n">
        <v>0.101</v>
      </c>
      <c r="G2" s="16" t="n">
        <v>0.393</v>
      </c>
      <c r="H2" s="12" t="s">
        <v>201</v>
      </c>
      <c r="I2" s="12" t="s">
        <v>35</v>
      </c>
      <c r="J2" s="18" t="s">
        <v>202</v>
      </c>
    </row>
    <row r="3" customFormat="false" ht="16.5" hidden="false" customHeight="true" outlineLevel="0" collapsed="false">
      <c r="A3" s="11" t="s">
        <v>104</v>
      </c>
      <c r="B3" s="12" t="s">
        <v>105</v>
      </c>
      <c r="C3" s="11" t="s">
        <v>200</v>
      </c>
      <c r="D3" s="15" t="n">
        <v>446.9</v>
      </c>
      <c r="E3" s="16" t="n">
        <v>5.609</v>
      </c>
      <c r="F3" s="16" t="n">
        <v>0.019</v>
      </c>
      <c r="G3" s="16" t="n">
        <v>6.382</v>
      </c>
      <c r="H3" s="12" t="s">
        <v>203</v>
      </c>
      <c r="I3" s="12" t="s">
        <v>35</v>
      </c>
      <c r="J3" s="18" t="s">
        <v>204</v>
      </c>
    </row>
    <row r="4" customFormat="false" ht="16.5" hidden="false" customHeight="true" outlineLevel="0" collapsed="false">
      <c r="A4" s="11" t="s">
        <v>106</v>
      </c>
      <c r="B4" s="12" t="s">
        <v>107</v>
      </c>
      <c r="C4" s="11" t="s">
        <v>200</v>
      </c>
      <c r="D4" s="15" t="n">
        <v>273.08</v>
      </c>
      <c r="E4" s="16" t="n">
        <v>2.894</v>
      </c>
      <c r="F4" s="16" t="n">
        <v>0.02</v>
      </c>
      <c r="G4" s="16" t="n">
        <v>1.774</v>
      </c>
      <c r="H4" s="13"/>
      <c r="I4" s="12" t="s">
        <v>35</v>
      </c>
      <c r="J4" s="18" t="s">
        <v>205</v>
      </c>
    </row>
    <row r="5" customFormat="false" ht="16.5" hidden="false" customHeight="true" outlineLevel="0" collapsed="false">
      <c r="A5" s="11" t="s">
        <v>108</v>
      </c>
      <c r="B5" s="12" t="s">
        <v>109</v>
      </c>
      <c r="C5" s="11" t="s">
        <v>200</v>
      </c>
      <c r="D5" s="15" t="n">
        <v>5.2</v>
      </c>
      <c r="E5" s="16" t="n">
        <v>1.809</v>
      </c>
      <c r="F5" s="16" t="n">
        <v>0.038</v>
      </c>
      <c r="G5" s="16" t="n">
        <v>1.29</v>
      </c>
      <c r="H5" s="12" t="s">
        <v>206</v>
      </c>
      <c r="I5" s="12" t="s">
        <v>35</v>
      </c>
      <c r="J5" s="18" t="s">
        <v>207</v>
      </c>
    </row>
    <row r="6" customFormat="false" ht="16.5" hidden="false" customHeight="true" outlineLevel="0" collapsed="false">
      <c r="A6" s="11" t="s">
        <v>113</v>
      </c>
      <c r="B6" s="12" t="s">
        <v>114</v>
      </c>
      <c r="C6" s="11" t="s">
        <v>200</v>
      </c>
      <c r="D6" s="15" t="n">
        <v>59.15</v>
      </c>
      <c r="E6" s="16" t="n">
        <v>1.325</v>
      </c>
      <c r="F6" s="16" t="n">
        <v>0.001</v>
      </c>
      <c r="G6" s="16" t="n">
        <v>0.97</v>
      </c>
      <c r="H6" s="12" t="s">
        <v>208</v>
      </c>
      <c r="I6" s="12" t="s">
        <v>35</v>
      </c>
      <c r="J6" s="18" t="s">
        <v>209</v>
      </c>
    </row>
    <row r="7" customFormat="false" ht="16.5" hidden="false" customHeight="true" outlineLevel="0" collapsed="false">
      <c r="A7" s="11" t="s">
        <v>118</v>
      </c>
      <c r="B7" s="12" t="s">
        <v>119</v>
      </c>
      <c r="C7" s="11" t="s">
        <v>200</v>
      </c>
      <c r="D7" s="15" t="n">
        <v>194.81</v>
      </c>
      <c r="E7" s="16" t="n">
        <v>0.543</v>
      </c>
      <c r="F7" s="16" t="n">
        <v>0.048</v>
      </c>
      <c r="G7" s="16" t="n">
        <v>0.761</v>
      </c>
      <c r="H7" s="13"/>
      <c r="I7" s="12" t="s">
        <v>35</v>
      </c>
      <c r="J7" s="18" t="s">
        <v>210</v>
      </c>
    </row>
    <row r="8" customFormat="false" ht="16.5" hidden="false" customHeight="true" outlineLevel="0" collapsed="false">
      <c r="A8" s="11" t="s">
        <v>121</v>
      </c>
      <c r="B8" s="12" t="s">
        <v>122</v>
      </c>
      <c r="C8" s="11" t="s">
        <v>200</v>
      </c>
      <c r="D8" s="15" t="n">
        <v>31.41</v>
      </c>
      <c r="E8" s="16" t="n">
        <v>0.672</v>
      </c>
      <c r="F8" s="16" t="n">
        <v>-0.166</v>
      </c>
      <c r="G8" s="16" t="n">
        <v>0.81</v>
      </c>
      <c r="H8" s="12" t="s">
        <v>211</v>
      </c>
      <c r="I8" s="12" t="s">
        <v>35</v>
      </c>
      <c r="J8" s="18" t="s">
        <v>212</v>
      </c>
    </row>
    <row r="9" customFormat="false" ht="16.5" hidden="false" customHeight="true" outlineLevel="0" collapsed="false">
      <c r="A9" s="11" t="s">
        <v>124</v>
      </c>
      <c r="B9" s="12" t="s">
        <v>125</v>
      </c>
      <c r="C9" s="11" t="s">
        <v>200</v>
      </c>
      <c r="D9" s="15" t="n">
        <v>2.04</v>
      </c>
      <c r="E9" s="16" t="n">
        <v>0.132</v>
      </c>
      <c r="F9" s="16" t="n">
        <v>0.196</v>
      </c>
      <c r="G9" s="16" t="n">
        <v>-0.106</v>
      </c>
      <c r="H9" s="11" t="s">
        <v>213</v>
      </c>
      <c r="I9" s="12" t="s">
        <v>35</v>
      </c>
      <c r="J9" s="18" t="s">
        <v>214</v>
      </c>
    </row>
    <row r="10" customFormat="false" ht="16.5" hidden="false" customHeight="true" outlineLevel="0" collapsed="false">
      <c r="A10" s="11" t="s">
        <v>198</v>
      </c>
      <c r="B10" s="12" t="s">
        <v>199</v>
      </c>
      <c r="C10" s="11" t="s">
        <v>215</v>
      </c>
      <c r="D10" s="13"/>
      <c r="E10" s="17"/>
      <c r="F10" s="17"/>
      <c r="G10" s="17"/>
      <c r="H10" s="11" t="s">
        <v>216</v>
      </c>
      <c r="I10" s="12" t="s">
        <v>37</v>
      </c>
      <c r="J10" s="18" t="s">
        <v>217</v>
      </c>
    </row>
  </sheetData>
  <autoFilter ref="A1:J10"/>
  <hyperlinks>
    <hyperlink ref="J2" r:id="rId1" display="https://news.cnyes.com/news/id/6603050"/>
    <hyperlink ref="J3" r:id="rId2" display="https://news.ustv.com.tw/newsdetail/20260902A001020"/>
    <hyperlink ref="J4" r:id="rId3" display="https://udn.com/news/story/7252/9741093"/>
    <hyperlink ref="J5" r:id="rId4" display="https://news.cnyes.com/news/id/6597602"/>
    <hyperlink ref="J6" r:id="rId5" display="https://m.cnyes.com/news/id/6597745"/>
    <hyperlink ref="J7" r:id="rId6" display="https://news.cnyes.com/news/id/6600144"/>
    <hyperlink ref="J8" r:id="rId7" display="https://www.ctee.com.tw/news/20260908701262-430502"/>
    <hyperlink ref="J9" r:id="rId8" display="https://www.chinatimes.com/realtimenews/20260905002223-260410"/>
    <hyperlink ref="J10" r:id="rId9" display="https://investor.tsmc.com/english/financial-calend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60"/>
  </cols>
  <sheetData>
    <row r="1" customFormat="false" ht="15" hidden="false" customHeight="true" outlineLevel="0" collapsed="false">
      <c r="A1" s="19" t="s">
        <v>218</v>
      </c>
    </row>
    <row r="2" customFormat="false" ht="32.25" hidden="false" customHeight="true" outlineLevel="0" collapsed="false">
      <c r="A2" s="10" t="s">
        <v>40</v>
      </c>
      <c r="B2" s="10" t="s">
        <v>41</v>
      </c>
      <c r="C2" s="10" t="s">
        <v>219</v>
      </c>
      <c r="D2" s="10" t="s">
        <v>220</v>
      </c>
      <c r="E2" s="10" t="s">
        <v>221</v>
      </c>
      <c r="F2" s="10" t="s">
        <v>222</v>
      </c>
      <c r="G2" s="10" t="s">
        <v>223</v>
      </c>
      <c r="H2" s="10" t="s">
        <v>47</v>
      </c>
    </row>
    <row r="3" customFormat="false" ht="32.25" hidden="false" customHeight="true" outlineLevel="0" collapsed="false">
      <c r="A3" s="11" t="s">
        <v>48</v>
      </c>
      <c r="B3" s="12" t="s">
        <v>49</v>
      </c>
      <c r="C3" s="14" t="n">
        <v>46294</v>
      </c>
      <c r="D3" s="15" t="n">
        <v>1070</v>
      </c>
      <c r="E3" s="13"/>
      <c r="F3" s="20" t="str">
        <f aca="false">IF(AND(ISNUMBER(D3),ISNUMBER(E3),E3&lt;&gt;0),D3/E3,"")</f>
        <v/>
      </c>
      <c r="G3" s="13"/>
      <c r="H3" s="12" t="s">
        <v>224</v>
      </c>
    </row>
    <row r="4" customFormat="false" ht="15" hidden="false" customHeight="true" outlineLevel="0" collapsed="false">
      <c r="A4" s="11" t="s">
        <v>55</v>
      </c>
      <c r="B4" s="11" t="s">
        <v>56</v>
      </c>
      <c r="C4" s="13"/>
      <c r="D4" s="13"/>
      <c r="E4" s="13"/>
      <c r="F4" s="20" t="str">
        <f aca="false">IF(AND(ISNUMBER(D4),ISNUMBER(E4),E4&lt;&gt;0),D4/E4,"")</f>
        <v/>
      </c>
      <c r="G4" s="13"/>
      <c r="H4" s="13"/>
    </row>
    <row r="5" customFormat="false" ht="16.5" hidden="false" customHeight="true" outlineLevel="0" collapsed="false">
      <c r="A5" s="11" t="s">
        <v>60</v>
      </c>
      <c r="B5" s="12" t="s">
        <v>61</v>
      </c>
      <c r="C5" s="13"/>
      <c r="D5" s="13"/>
      <c r="E5" s="13"/>
      <c r="F5" s="20" t="str">
        <f aca="false">IF(AND(ISNUMBER(D5),ISNUMBER(E5),E5&lt;&gt;0),D5/E5,"")</f>
        <v/>
      </c>
      <c r="G5" s="13"/>
      <c r="H5" s="13"/>
    </row>
    <row r="6" customFormat="false" ht="15" hidden="false" customHeight="true" outlineLevel="0" collapsed="false">
      <c r="A6" s="11" t="s">
        <v>66</v>
      </c>
      <c r="B6" s="11" t="s">
        <v>67</v>
      </c>
      <c r="C6" s="13"/>
      <c r="D6" s="13"/>
      <c r="E6" s="13"/>
      <c r="F6" s="20" t="str">
        <f aca="false">IF(AND(ISNUMBER(D6),ISNUMBER(E6),E6&lt;&gt;0),D6/E6,"")</f>
        <v/>
      </c>
      <c r="G6" s="13"/>
      <c r="H6" s="13"/>
    </row>
    <row r="7" customFormat="false" ht="15" hidden="false" customHeight="true" outlineLevel="0" collapsed="false">
      <c r="A7" s="11" t="s">
        <v>71</v>
      </c>
      <c r="B7" s="11" t="s">
        <v>72</v>
      </c>
      <c r="C7" s="13"/>
      <c r="D7" s="13"/>
      <c r="E7" s="13"/>
      <c r="F7" s="20" t="str">
        <f aca="false">IF(AND(ISNUMBER(D7),ISNUMBER(E7),E7&lt;&gt;0),D7/E7,"")</f>
        <v/>
      </c>
      <c r="G7" s="13"/>
      <c r="H7" s="13"/>
    </row>
    <row r="8" customFormat="false" ht="15" hidden="false" customHeight="true" outlineLevel="0" collapsed="false">
      <c r="A8" s="11" t="s">
        <v>75</v>
      </c>
      <c r="B8" s="11" t="s">
        <v>76</v>
      </c>
      <c r="C8" s="13"/>
      <c r="D8" s="13"/>
      <c r="E8" s="13"/>
      <c r="F8" s="20" t="str">
        <f aca="false">IF(AND(ISNUMBER(D8),ISNUMBER(E8),E8&lt;&gt;0),D8/E8,"")</f>
        <v/>
      </c>
      <c r="G8" s="13"/>
      <c r="H8" s="13"/>
    </row>
    <row r="9" customFormat="false" ht="15" hidden="false" customHeight="true" outlineLevel="0" collapsed="false">
      <c r="A9" s="11" t="s">
        <v>78</v>
      </c>
      <c r="B9" s="11" t="s">
        <v>79</v>
      </c>
      <c r="C9" s="13"/>
      <c r="D9" s="13"/>
      <c r="E9" s="13"/>
      <c r="F9" s="20" t="str">
        <f aca="false">IF(AND(ISNUMBER(D9),ISNUMBER(E9),E9&lt;&gt;0),D9/E9,"")</f>
        <v/>
      </c>
      <c r="G9" s="13"/>
      <c r="H9" s="13"/>
    </row>
    <row r="10" customFormat="false" ht="15" hidden="false" customHeight="true" outlineLevel="0" collapsed="false">
      <c r="A10" s="11" t="s">
        <v>82</v>
      </c>
      <c r="B10" s="11" t="s">
        <v>83</v>
      </c>
      <c r="C10" s="13"/>
      <c r="D10" s="13"/>
      <c r="E10" s="13"/>
      <c r="F10" s="20" t="str">
        <f aca="false">IF(AND(ISNUMBER(D10),ISNUMBER(E10),E10&lt;&gt;0),D10/E10,"")</f>
        <v/>
      </c>
      <c r="G10" s="13"/>
      <c r="H10" s="13"/>
    </row>
    <row r="11" customFormat="false" ht="15" hidden="false" customHeight="true" outlineLevel="0" collapsed="false">
      <c r="A11" s="11" t="s">
        <v>85</v>
      </c>
      <c r="B11" s="11" t="s">
        <v>86</v>
      </c>
      <c r="C11" s="13"/>
      <c r="D11" s="13"/>
      <c r="E11" s="13"/>
      <c r="F11" s="20" t="str">
        <f aca="false">IF(AND(ISNUMBER(D11),ISNUMBER(E11),E11&lt;&gt;0),D11/E11,"")</f>
        <v/>
      </c>
      <c r="G11" s="13"/>
      <c r="H11" s="13"/>
    </row>
    <row r="12" customFormat="false" ht="15" hidden="false" customHeight="true" outlineLevel="0" collapsed="false">
      <c r="A12" s="11" t="s">
        <v>89</v>
      </c>
      <c r="B12" s="11" t="s">
        <v>90</v>
      </c>
      <c r="C12" s="13"/>
      <c r="D12" s="13"/>
      <c r="E12" s="13"/>
      <c r="F12" s="20" t="str">
        <f aca="false">IF(AND(ISNUMBER(D12),ISNUMBER(E12),E12&lt;&gt;0),D12/E12,"")</f>
        <v/>
      </c>
      <c r="G12" s="13"/>
      <c r="H12" s="13"/>
    </row>
    <row r="13" customFormat="false" ht="15" hidden="false" customHeight="true" outlineLevel="0" collapsed="false">
      <c r="A13" s="11" t="s">
        <v>92</v>
      </c>
      <c r="B13" s="11" t="s">
        <v>93</v>
      </c>
      <c r="C13" s="13"/>
      <c r="D13" s="13"/>
      <c r="E13" s="13"/>
      <c r="F13" s="20" t="str">
        <f aca="false">IF(AND(ISNUMBER(D13),ISNUMBER(E13),E13&lt;&gt;0),D13/E13,"")</f>
        <v/>
      </c>
      <c r="G13" s="13"/>
      <c r="H13" s="13"/>
    </row>
    <row r="14" customFormat="false" ht="15" hidden="false" customHeight="true" outlineLevel="0" collapsed="false">
      <c r="A14" s="11" t="s">
        <v>97</v>
      </c>
      <c r="B14" s="11" t="s">
        <v>98</v>
      </c>
      <c r="C14" s="13"/>
      <c r="D14" s="13"/>
      <c r="E14" s="13"/>
      <c r="F14" s="20" t="str">
        <f aca="false">IF(AND(ISNUMBER(D14),ISNUMBER(E14),E14&lt;&gt;0),D14/E14,"")</f>
        <v/>
      </c>
      <c r="G14" s="13"/>
      <c r="H14" s="13"/>
    </row>
    <row r="15" customFormat="false" ht="15" hidden="false" customHeight="true" outlineLevel="0" collapsed="false">
      <c r="A15" s="11" t="s">
        <v>101</v>
      </c>
      <c r="B15" s="11" t="s">
        <v>102</v>
      </c>
      <c r="C15" s="13"/>
      <c r="D15" s="13"/>
      <c r="E15" s="13"/>
      <c r="F15" s="20" t="str">
        <f aca="false">IF(AND(ISNUMBER(D15),ISNUMBER(E15),E15&lt;&gt;0),D15/E15,"")</f>
        <v/>
      </c>
      <c r="G15" s="13"/>
      <c r="H15" s="13"/>
    </row>
    <row r="16" customFormat="false" ht="16.5" hidden="false" customHeight="true" outlineLevel="0" collapsed="false">
      <c r="A16" s="11" t="s">
        <v>104</v>
      </c>
      <c r="B16" s="12" t="s">
        <v>105</v>
      </c>
      <c r="C16" s="13"/>
      <c r="D16" s="13"/>
      <c r="E16" s="13"/>
      <c r="F16" s="20" t="str">
        <f aca="false">IF(AND(ISNUMBER(D16),ISNUMBER(E16),E16&lt;&gt;0),D16/E16,"")</f>
        <v/>
      </c>
      <c r="G16" s="13"/>
      <c r="H16" s="13"/>
    </row>
    <row r="17" customFormat="false" ht="16.5" hidden="false" customHeight="true" outlineLevel="0" collapsed="false">
      <c r="A17" s="11" t="s">
        <v>106</v>
      </c>
      <c r="B17" s="12" t="s">
        <v>107</v>
      </c>
      <c r="C17" s="13"/>
      <c r="D17" s="13"/>
      <c r="E17" s="13"/>
      <c r="F17" s="20" t="str">
        <f aca="false">IF(AND(ISNUMBER(D17),ISNUMBER(E17),E17&lt;&gt;0),D17/E17,"")</f>
        <v/>
      </c>
      <c r="G17" s="13"/>
      <c r="H17" s="13"/>
    </row>
    <row r="18" customFormat="false" ht="16.5" hidden="false" customHeight="true" outlineLevel="0" collapsed="false">
      <c r="A18" s="11" t="s">
        <v>108</v>
      </c>
      <c r="B18" s="12" t="s">
        <v>109</v>
      </c>
      <c r="C18" s="13"/>
      <c r="D18" s="13"/>
      <c r="E18" s="13"/>
      <c r="F18" s="20" t="str">
        <f aca="false">IF(AND(ISNUMBER(D18),ISNUMBER(E18),E18&lt;&gt;0),D18/E18,"")</f>
        <v/>
      </c>
      <c r="G18" s="13"/>
      <c r="H18" s="13"/>
    </row>
    <row r="19" customFormat="false" ht="16.5" hidden="false" customHeight="true" outlineLevel="0" collapsed="false">
      <c r="A19" s="11" t="s">
        <v>113</v>
      </c>
      <c r="B19" s="12" t="s">
        <v>114</v>
      </c>
      <c r="C19" s="13"/>
      <c r="D19" s="13"/>
      <c r="E19" s="13"/>
      <c r="F19" s="20" t="str">
        <f aca="false">IF(AND(ISNUMBER(D19),ISNUMBER(E19),E19&lt;&gt;0),D19/E19,"")</f>
        <v/>
      </c>
      <c r="G19" s="13"/>
      <c r="H19" s="13"/>
    </row>
    <row r="20" customFormat="false" ht="16.5" hidden="false" customHeight="true" outlineLevel="0" collapsed="false">
      <c r="A20" s="11" t="s">
        <v>118</v>
      </c>
      <c r="B20" s="12" t="s">
        <v>119</v>
      </c>
      <c r="C20" s="13"/>
      <c r="D20" s="13"/>
      <c r="E20" s="13"/>
      <c r="F20" s="20" t="str">
        <f aca="false">IF(AND(ISNUMBER(D20),ISNUMBER(E20),E20&lt;&gt;0),D20/E20,"")</f>
        <v/>
      </c>
      <c r="G20" s="13"/>
      <c r="H20" s="13"/>
    </row>
    <row r="21" customFormat="false" ht="16.5" hidden="false" customHeight="true" outlineLevel="0" collapsed="false">
      <c r="A21" s="11" t="s">
        <v>121</v>
      </c>
      <c r="B21" s="12" t="s">
        <v>122</v>
      </c>
      <c r="C21" s="13"/>
      <c r="D21" s="13"/>
      <c r="E21" s="13"/>
      <c r="F21" s="20" t="str">
        <f aca="false">IF(AND(ISNUMBER(D21),ISNUMBER(E21),E21&lt;&gt;0),D21/E21,"")</f>
        <v/>
      </c>
      <c r="G21" s="13"/>
      <c r="H21" s="13"/>
    </row>
    <row r="22" customFormat="false" ht="16.5" hidden="false" customHeight="true" outlineLevel="0" collapsed="false">
      <c r="A22" s="11" t="s">
        <v>124</v>
      </c>
      <c r="B22" s="12" t="s">
        <v>125</v>
      </c>
      <c r="C22" s="13"/>
      <c r="D22" s="13"/>
      <c r="E22" s="13"/>
      <c r="F22" s="20" t="str">
        <f aca="false">IF(AND(ISNUMBER(D22),ISNUMBER(E22),E22&lt;&gt;0),D22/E22,"")</f>
        <v/>
      </c>
      <c r="G22" s="13"/>
      <c r="H22" s="13"/>
    </row>
    <row r="23" customFormat="false" ht="16.5" hidden="false" customHeight="true" outlineLevel="0" collapsed="false">
      <c r="A23" s="11" t="s">
        <v>130</v>
      </c>
      <c r="B23" s="12" t="s">
        <v>131</v>
      </c>
      <c r="C23" s="13"/>
      <c r="D23" s="13"/>
      <c r="E23" s="13"/>
      <c r="F23" s="20" t="str">
        <f aca="false">IF(AND(ISNUMBER(D23),ISNUMBER(E23),E23&lt;&gt;0),D23/E23,"")</f>
        <v/>
      </c>
      <c r="G23" s="13"/>
      <c r="H23" s="13"/>
    </row>
  </sheetData>
  <autoFilter ref="A2:H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4" min="4" style="1" width="36"/>
    <col collapsed="false" customWidth="true" hidden="false" outlineLevel="0" max="5" min="5" style="1" width="12"/>
    <col collapsed="false" customWidth="true" hidden="false" outlineLevel="0" max="6" min="6" style="1" width="44"/>
    <col collapsed="false" customWidth="true" hidden="false" outlineLevel="0" max="7" min="7" style="1" width="40"/>
  </cols>
  <sheetData>
    <row r="1" customFormat="false" ht="16.5" hidden="false" customHeight="true" outlineLevel="0" collapsed="false">
      <c r="A1" s="10" t="s">
        <v>225</v>
      </c>
      <c r="B1" s="10" t="s">
        <v>226</v>
      </c>
      <c r="C1" s="10" t="s">
        <v>227</v>
      </c>
      <c r="D1" s="10" t="s">
        <v>228</v>
      </c>
      <c r="E1" s="10" t="s">
        <v>229</v>
      </c>
      <c r="F1" s="10" t="s">
        <v>149</v>
      </c>
      <c r="G1" s="10" t="s">
        <v>151</v>
      </c>
    </row>
    <row r="2" customFormat="false" ht="16.5" hidden="false" customHeight="true" outlineLevel="0" collapsed="false">
      <c r="A2" s="12" t="s">
        <v>230</v>
      </c>
      <c r="B2" s="12" t="s">
        <v>231</v>
      </c>
      <c r="C2" s="14" t="n">
        <v>46281</v>
      </c>
      <c r="D2" s="11" t="s">
        <v>232</v>
      </c>
      <c r="E2" s="12" t="s">
        <v>233</v>
      </c>
      <c r="F2" s="11" t="s">
        <v>234</v>
      </c>
      <c r="G2" s="18" t="s">
        <v>235</v>
      </c>
    </row>
    <row r="3" customFormat="false" ht="16.5" hidden="false" customHeight="true" outlineLevel="0" collapsed="false">
      <c r="A3" s="12" t="s">
        <v>230</v>
      </c>
      <c r="B3" s="12" t="s">
        <v>236</v>
      </c>
      <c r="C3" s="14" t="n">
        <v>46281</v>
      </c>
      <c r="D3" s="11" t="s">
        <v>237</v>
      </c>
      <c r="E3" s="12" t="s">
        <v>238</v>
      </c>
      <c r="F3" s="12" t="s">
        <v>239</v>
      </c>
      <c r="G3" s="18" t="s">
        <v>240</v>
      </c>
    </row>
    <row r="4" customFormat="false" ht="16.5" hidden="false" customHeight="true" outlineLevel="0" collapsed="false">
      <c r="A4" s="12" t="s">
        <v>230</v>
      </c>
      <c r="B4" s="11" t="s">
        <v>241</v>
      </c>
      <c r="C4" s="14" t="n">
        <v>46297</v>
      </c>
      <c r="D4" s="11" t="s">
        <v>242</v>
      </c>
      <c r="E4" s="12" t="s">
        <v>233</v>
      </c>
      <c r="F4" s="13"/>
      <c r="G4" s="18" t="s">
        <v>243</v>
      </c>
    </row>
    <row r="5" customFormat="false" ht="32.25" hidden="false" customHeight="true" outlineLevel="0" collapsed="false">
      <c r="A5" s="12" t="s">
        <v>51</v>
      </c>
      <c r="B5" s="11" t="s">
        <v>244</v>
      </c>
      <c r="C5" s="14" t="n">
        <v>46259</v>
      </c>
      <c r="D5" s="11" t="s">
        <v>245</v>
      </c>
      <c r="E5" s="12" t="s">
        <v>238</v>
      </c>
      <c r="F5" s="11" t="s">
        <v>246</v>
      </c>
      <c r="G5" s="18" t="s">
        <v>247</v>
      </c>
    </row>
    <row r="6" customFormat="false" ht="16.5" hidden="false" customHeight="true" outlineLevel="0" collapsed="false">
      <c r="A6" s="12" t="s">
        <v>51</v>
      </c>
      <c r="B6" s="11" t="s">
        <v>248</v>
      </c>
      <c r="C6" s="14" t="n">
        <v>46294</v>
      </c>
      <c r="D6" s="11" t="s">
        <v>249</v>
      </c>
      <c r="E6" s="12" t="s">
        <v>238</v>
      </c>
      <c r="F6" s="13"/>
      <c r="G6" s="18" t="s">
        <v>250</v>
      </c>
    </row>
    <row r="7" customFormat="false" ht="16.5" hidden="false" customHeight="true" outlineLevel="0" collapsed="false">
      <c r="A7" s="12" t="s">
        <v>51</v>
      </c>
      <c r="B7" s="12" t="s">
        <v>251</v>
      </c>
      <c r="C7" s="14" t="n">
        <v>46238</v>
      </c>
      <c r="D7" s="12" t="s">
        <v>252</v>
      </c>
      <c r="E7" s="12" t="s">
        <v>238</v>
      </c>
      <c r="F7" s="12" t="s">
        <v>253</v>
      </c>
      <c r="G7" s="18" t="s">
        <v>254</v>
      </c>
    </row>
    <row r="8" customFormat="false" ht="16.5" hidden="false" customHeight="true" outlineLevel="0" collapsed="false">
      <c r="A8" s="12" t="s">
        <v>255</v>
      </c>
      <c r="B8" s="12" t="s">
        <v>256</v>
      </c>
      <c r="C8" s="14" t="n">
        <v>46266</v>
      </c>
      <c r="D8" s="11" t="s">
        <v>257</v>
      </c>
      <c r="E8" s="12" t="s">
        <v>238</v>
      </c>
      <c r="F8" s="13"/>
      <c r="G8" s="18" t="s">
        <v>258</v>
      </c>
    </row>
    <row r="9" customFormat="false" ht="16.5" hidden="false" customHeight="true" outlineLevel="0" collapsed="false">
      <c r="A9" s="12" t="s">
        <v>259</v>
      </c>
      <c r="B9" s="12" t="s">
        <v>260</v>
      </c>
      <c r="C9" s="14" t="n">
        <v>46261</v>
      </c>
      <c r="D9" s="11" t="s">
        <v>261</v>
      </c>
      <c r="E9" s="12" t="s">
        <v>238</v>
      </c>
      <c r="F9" s="12" t="s">
        <v>262</v>
      </c>
      <c r="G9" s="18" t="s">
        <v>263</v>
      </c>
    </row>
    <row r="10" customFormat="false" ht="16.5" hidden="false" customHeight="true" outlineLevel="0" collapsed="false">
      <c r="A10" s="12" t="s">
        <v>264</v>
      </c>
      <c r="B10" s="12" t="s">
        <v>265</v>
      </c>
      <c r="C10" s="14" t="n">
        <v>46136</v>
      </c>
      <c r="D10" s="12" t="s">
        <v>266</v>
      </c>
      <c r="E10" s="12" t="s">
        <v>238</v>
      </c>
      <c r="F10" s="13"/>
      <c r="G10" s="18" t="s">
        <v>267</v>
      </c>
    </row>
    <row r="11" customFormat="false" ht="16.5" hidden="false" customHeight="true" outlineLevel="0" collapsed="false">
      <c r="A11" s="12" t="s">
        <v>268</v>
      </c>
      <c r="B11" s="11" t="s">
        <v>269</v>
      </c>
      <c r="C11" s="14" t="n">
        <v>46295</v>
      </c>
      <c r="D11" s="11" t="s">
        <v>270</v>
      </c>
      <c r="E11" s="12" t="s">
        <v>238</v>
      </c>
      <c r="F11" s="11" t="s">
        <v>271</v>
      </c>
      <c r="G11" s="18" t="s">
        <v>272</v>
      </c>
    </row>
  </sheetData>
  <autoFilter ref="A1:G11"/>
  <hyperlinks>
    <hyperlink ref="G2" r:id="rId1" display="https://www.foxbusiness.com/economy/federal-reserve-interest-rate-decision-september-16-2026"/>
    <hyperlink ref="G3" r:id="rId2" display="https://www.federalreserve.gov/monetarypolicy/fomcprojtabl20260916.htm"/>
    <hyperlink ref="G4" r:id="rId3" display="https://www.bls.gov/news.release/empsit.htm"/>
    <hyperlink ref="G5" r:id="rId4" display="https://www.trendforce.com/presscenter/news/20260825-13198.html"/>
    <hyperlink ref="G6" r:id="rId5" display="https://www.trendforce.com/presscenter/news/20260929-13255.html"/>
    <hyperlink ref="G7" r:id="rId6" display="https://aiweekly.co/alerts/nvidia-tests-lower-memory-rubin-ultra-variants-amid-hbm-squeeze"/>
    <hyperlink ref="G8" r:id="rId7" display="https://www.trendforce.com/presscenter/news/20260901-13210.html"/>
    <hyperlink ref="G9" r:id="rId8" display="https://www.trendforce.com/presscenter/news/20260827-13202.html"/>
    <hyperlink ref="G10" r:id="rId9" display="https://insights.trendforce.com/p/agentic-ai-cpu-gpu"/>
    <hyperlink ref="G11" r:id="rId10" display="https://www.forbes.com/sites/maryroeloffs/2026/09/30/metas-muse-ai-assistant-hits-5-million-downloads-outpacing-growth-of-chatgpt-grok-and-claud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44"/>
    <col collapsed="false" customWidth="true" hidden="false" outlineLevel="0" max="11" min="11" style="1" width="40"/>
  </cols>
  <sheetData>
    <row r="1" customFormat="false" ht="48" hidden="false" customHeight="true" outlineLevel="0" collapsed="false">
      <c r="A1" s="10" t="s">
        <v>273</v>
      </c>
      <c r="B1" s="10" t="s">
        <v>274</v>
      </c>
      <c r="C1" s="10" t="s">
        <v>275</v>
      </c>
      <c r="D1" s="10" t="s">
        <v>229</v>
      </c>
      <c r="E1" s="10" t="s">
        <v>276</v>
      </c>
      <c r="F1" s="10" t="s">
        <v>277</v>
      </c>
      <c r="G1" s="10" t="s">
        <v>278</v>
      </c>
      <c r="H1" s="10" t="s">
        <v>279</v>
      </c>
      <c r="I1" s="10" t="s">
        <v>280</v>
      </c>
      <c r="J1" s="10" t="s">
        <v>281</v>
      </c>
      <c r="K1" s="10" t="s">
        <v>151</v>
      </c>
    </row>
    <row r="2" customFormat="false" ht="16.5" hidden="false" customHeight="true" outlineLevel="0" collapsed="false">
      <c r="A2" s="14" t="n">
        <v>46295</v>
      </c>
      <c r="B2" s="21" t="n">
        <f aca="false">A2-DATE(2026,10,5)</f>
        <v>-5</v>
      </c>
      <c r="C2" s="12" t="s">
        <v>282</v>
      </c>
      <c r="D2" s="12" t="s">
        <v>233</v>
      </c>
      <c r="E2" s="12" t="s">
        <v>283</v>
      </c>
      <c r="F2" s="12" t="s">
        <v>284</v>
      </c>
      <c r="G2" s="17"/>
      <c r="H2" s="17"/>
      <c r="I2" s="16" t="str">
        <f aca="false">IF(AND(ISNUMBER(G2),ISNUMBER(H2)),G2-H2,"")</f>
        <v/>
      </c>
      <c r="J2" s="12" t="s">
        <v>285</v>
      </c>
      <c r="K2" s="18" t="s">
        <v>156</v>
      </c>
    </row>
    <row r="3" customFormat="false" ht="32.25" hidden="false" customHeight="true" outlineLevel="0" collapsed="false">
      <c r="A3" s="14" t="n">
        <v>46301</v>
      </c>
      <c r="B3" s="21" t="n">
        <f aca="false">A3-DATE(2026,10,5)</f>
        <v>1</v>
      </c>
      <c r="C3" s="11" t="s">
        <v>286</v>
      </c>
      <c r="D3" s="12" t="s">
        <v>233</v>
      </c>
      <c r="E3" s="13"/>
      <c r="F3" s="13"/>
      <c r="G3" s="17"/>
      <c r="H3" s="17"/>
      <c r="I3" s="16" t="str">
        <f aca="false">IF(AND(ISNUMBER(G3),ISNUMBER(H3)),G3-H3,"")</f>
        <v/>
      </c>
      <c r="J3" s="12" t="s">
        <v>287</v>
      </c>
      <c r="K3" s="18" t="s">
        <v>288</v>
      </c>
    </row>
    <row r="4" customFormat="false" ht="16.5" hidden="false" customHeight="true" outlineLevel="0" collapsed="false">
      <c r="A4" s="14" t="n">
        <v>46303</v>
      </c>
      <c r="B4" s="21" t="n">
        <f aca="false">A4-DATE(2026,10,5)</f>
        <v>3</v>
      </c>
      <c r="C4" s="12" t="s">
        <v>289</v>
      </c>
      <c r="D4" s="12" t="s">
        <v>233</v>
      </c>
      <c r="E4" s="13"/>
      <c r="F4" s="13"/>
      <c r="G4" s="17"/>
      <c r="H4" s="17"/>
      <c r="I4" s="16" t="str">
        <f aca="false">IF(AND(ISNUMBER(G4),ISNUMBER(H4)),G4-H4,"")</f>
        <v/>
      </c>
      <c r="J4" s="12" t="s">
        <v>290</v>
      </c>
      <c r="K4" s="18" t="s">
        <v>217</v>
      </c>
    </row>
    <row r="5" customFormat="false" ht="32.25" hidden="false" customHeight="true" outlineLevel="0" collapsed="false">
      <c r="A5" s="14" t="n">
        <v>46305</v>
      </c>
      <c r="B5" s="21" t="n">
        <f aca="false">A5-DATE(2026,10,5)</f>
        <v>5</v>
      </c>
      <c r="C5" s="12" t="s">
        <v>291</v>
      </c>
      <c r="D5" s="12" t="s">
        <v>233</v>
      </c>
      <c r="E5" s="13"/>
      <c r="F5" s="13"/>
      <c r="G5" s="17"/>
      <c r="H5" s="17"/>
      <c r="I5" s="16" t="str">
        <f aca="false">IF(AND(ISNUMBER(G5),ISNUMBER(H5)),G5-H5,"")</f>
        <v/>
      </c>
      <c r="J5" s="12" t="s">
        <v>292</v>
      </c>
      <c r="K5" s="13"/>
    </row>
    <row r="6" customFormat="false" ht="16.5" hidden="false" customHeight="true" outlineLevel="0" collapsed="false">
      <c r="A6" s="14" t="n">
        <v>46308</v>
      </c>
      <c r="B6" s="21" t="n">
        <f aca="false">A6-DATE(2026,10,5)</f>
        <v>8</v>
      </c>
      <c r="C6" s="12" t="s">
        <v>293</v>
      </c>
      <c r="D6" s="12" t="s">
        <v>294</v>
      </c>
      <c r="E6" s="13"/>
      <c r="F6" s="13"/>
      <c r="G6" s="17"/>
      <c r="H6" s="17"/>
      <c r="I6" s="16" t="str">
        <f aca="false">IF(AND(ISNUMBER(G6),ISNUMBER(H6)),G6-H6,"")</f>
        <v/>
      </c>
      <c r="J6" s="12" t="s">
        <v>295</v>
      </c>
      <c r="K6" s="18" t="s">
        <v>296</v>
      </c>
    </row>
    <row r="7" customFormat="false" ht="16.5" hidden="false" customHeight="true" outlineLevel="0" collapsed="false">
      <c r="A7" s="14" t="n">
        <v>46310</v>
      </c>
      <c r="B7" s="21" t="n">
        <f aca="false">A7-DATE(2026,10,5)</f>
        <v>10</v>
      </c>
      <c r="C7" s="12" t="s">
        <v>297</v>
      </c>
      <c r="D7" s="12" t="s">
        <v>233</v>
      </c>
      <c r="E7" s="13"/>
      <c r="F7" s="13"/>
      <c r="G7" s="17"/>
      <c r="H7" s="17"/>
      <c r="I7" s="16" t="str">
        <f aca="false">IF(AND(ISNUMBER(G7),ISNUMBER(H7)),G7-H7,"")</f>
        <v/>
      </c>
      <c r="J7" s="12" t="s">
        <v>298</v>
      </c>
      <c r="K7" s="18" t="s">
        <v>217</v>
      </c>
    </row>
    <row r="8" customFormat="false" ht="16.5" hidden="false" customHeight="true" outlineLevel="0" collapsed="false">
      <c r="A8" s="14" t="n">
        <v>46311</v>
      </c>
      <c r="B8" s="21" t="n">
        <f aca="false">A8-DATE(2026,10,5)</f>
        <v>11</v>
      </c>
      <c r="C8" s="11" t="s">
        <v>299</v>
      </c>
      <c r="D8" s="12" t="s">
        <v>233</v>
      </c>
      <c r="E8" s="13"/>
      <c r="F8" s="13"/>
      <c r="G8" s="17"/>
      <c r="H8" s="17"/>
      <c r="I8" s="16" t="str">
        <f aca="false">IF(AND(ISNUMBER(G8),ISNUMBER(H8)),G8-H8,"")</f>
        <v/>
      </c>
      <c r="J8" s="12" t="s">
        <v>300</v>
      </c>
      <c r="K8" s="18" t="s">
        <v>301</v>
      </c>
    </row>
    <row r="9" customFormat="false" ht="16.5" hidden="false" customHeight="true" outlineLevel="0" collapsed="false">
      <c r="A9" s="14" t="n">
        <v>46323</v>
      </c>
      <c r="B9" s="21" t="n">
        <f aca="false">A9-DATE(2026,10,5)</f>
        <v>23</v>
      </c>
      <c r="C9" s="12" t="s">
        <v>302</v>
      </c>
      <c r="D9" s="12" t="s">
        <v>233</v>
      </c>
      <c r="E9" s="13"/>
      <c r="F9" s="13"/>
      <c r="G9" s="17"/>
      <c r="H9" s="17"/>
      <c r="I9" s="16" t="str">
        <f aca="false">IF(AND(ISNUMBER(G9),ISNUMBER(H9)),G9-H9,"")</f>
        <v/>
      </c>
      <c r="J9" s="12" t="s">
        <v>303</v>
      </c>
      <c r="K9" s="13"/>
    </row>
    <row r="10" customFormat="false" ht="16.5" hidden="false" customHeight="true" outlineLevel="0" collapsed="false">
      <c r="A10" s="14" t="n">
        <v>46325</v>
      </c>
      <c r="B10" s="21" t="n">
        <f aca="false">A10-DATE(2026,10,5)</f>
        <v>25</v>
      </c>
      <c r="C10" s="12" t="s">
        <v>304</v>
      </c>
      <c r="D10" s="12" t="s">
        <v>233</v>
      </c>
      <c r="E10" s="13"/>
      <c r="F10" s="13"/>
      <c r="G10" s="17"/>
      <c r="H10" s="17"/>
      <c r="I10" s="16" t="str">
        <f aca="false">IF(AND(ISNUMBER(G10),ISNUMBER(H10)),G10-H10,"")</f>
        <v/>
      </c>
      <c r="J10" s="12" t="s">
        <v>305</v>
      </c>
      <c r="K10" s="13"/>
    </row>
    <row r="11" customFormat="false" ht="16.5" hidden="false" customHeight="true" outlineLevel="0" collapsed="false">
      <c r="A11" s="14" t="n">
        <v>46336</v>
      </c>
      <c r="B11" s="21" t="n">
        <f aca="false">A11-DATE(2026,10,5)</f>
        <v>36</v>
      </c>
      <c r="C11" s="12" t="s">
        <v>306</v>
      </c>
      <c r="D11" s="12" t="s">
        <v>233</v>
      </c>
      <c r="E11" s="13"/>
      <c r="F11" s="13"/>
      <c r="G11" s="17"/>
      <c r="H11" s="17"/>
      <c r="I11" s="16" t="str">
        <f aca="false">IF(AND(ISNUMBER(G11),ISNUMBER(H11)),G11-H11,"")</f>
        <v/>
      </c>
      <c r="J11" s="12" t="s">
        <v>307</v>
      </c>
      <c r="K11" s="18" t="s">
        <v>217</v>
      </c>
    </row>
  </sheetData>
  <autoFilter ref="A1:K11"/>
  <hyperlinks>
    <hyperlink ref="K2" r:id="rId1" display="https://news.cnyes.com/news/id/6619198"/>
    <hyperlink ref="K3" r:id="rId2" display="https://www.marvell.com/company/events.html"/>
    <hyperlink ref="K4" r:id="rId3" display="https://investor.tsmc.com/english/financial-calendar"/>
    <hyperlink ref="K6" r:id="rId4" display="https://www.iclarified.com/102501/apple-targets-october-13-for-smart-home-hub-new-homepod-mini-and-apple-tv-gurman"/>
    <hyperlink ref="K7" r:id="rId5" display="https://investor.tsmc.com/english/financial-calendar"/>
    <hyperlink ref="K8" r:id="rId6" display="https://www.apple.com/newsroom/2026/09/apple-unveils-iphone-duo/"/>
    <hyperlink ref="K11" r:id="rId7" display="https://investor.tsmc.com/english/financial-calend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true" outlineLevel="0" max="9" min="9" style="1" width="2"/>
    <col collapsed="false" customWidth="true" hidden="false" outlineLevel="0" max="10" min="10" style="1" width="10"/>
    <col collapsed="false" customWidth="true" hidden="false" outlineLevel="0" max="12" min="11" style="1" width="12"/>
    <col collapsed="false" customWidth="true" hidden="false" outlineLevel="0" max="13" min="13" style="1" width="40"/>
    <col collapsed="false" customWidth="true" hidden="false" outlineLevel="0" max="14" min="14" style="1" width="16"/>
    <col collapsed="false" customWidth="true" hidden="false" outlineLevel="0" max="15" min="15" style="1" width="40"/>
  </cols>
  <sheetData>
    <row r="1" customFormat="false" ht="32.25" hidden="false" customHeight="true" outlineLevel="0" collapsed="false">
      <c r="A1" s="10" t="s">
        <v>308</v>
      </c>
      <c r="B1" s="10" t="s">
        <v>309</v>
      </c>
      <c r="C1" s="10" t="s">
        <v>226</v>
      </c>
      <c r="D1" s="10" t="s">
        <v>140</v>
      </c>
      <c r="E1" s="10" t="s">
        <v>228</v>
      </c>
      <c r="F1" s="10" t="s">
        <v>143</v>
      </c>
      <c r="G1" s="10" t="s">
        <v>229</v>
      </c>
      <c r="H1" s="10" t="s">
        <v>310</v>
      </c>
      <c r="I1" s="22" t="s">
        <v>311</v>
      </c>
      <c r="J1" s="10" t="s">
        <v>150</v>
      </c>
      <c r="K1" s="10" t="s">
        <v>312</v>
      </c>
      <c r="L1" s="10" t="s">
        <v>313</v>
      </c>
      <c r="M1" s="10" t="s">
        <v>149</v>
      </c>
      <c r="N1" s="10" t="s">
        <v>314</v>
      </c>
      <c r="O1" s="10" t="s">
        <v>315</v>
      </c>
    </row>
    <row r="2" customFormat="false" ht="32.25" hidden="false" customHeight="true" outlineLevel="0" collapsed="false">
      <c r="A2" s="12" t="str">
        <f aca="false">TEXT(ROW()-1,"C-000")</f>
        <v>C-001</v>
      </c>
      <c r="B2" s="11" t="s">
        <v>48</v>
      </c>
      <c r="C2" s="12" t="s">
        <v>142</v>
      </c>
      <c r="D2" s="11" t="s">
        <v>152</v>
      </c>
      <c r="E2" s="15" t="n">
        <v>542.3</v>
      </c>
      <c r="F2" s="12" t="s">
        <v>153</v>
      </c>
      <c r="G2" s="12" t="s">
        <v>233</v>
      </c>
      <c r="H2" s="15" t="n">
        <v>1</v>
      </c>
      <c r="I2" s="15"/>
      <c r="J2" s="12" t="s">
        <v>35</v>
      </c>
      <c r="K2" s="14" t="n">
        <v>46268</v>
      </c>
      <c r="L2" s="14" t="n">
        <v>46300</v>
      </c>
      <c r="M2" s="12" t="s">
        <v>155</v>
      </c>
      <c r="N2" s="12" t="s">
        <v>316</v>
      </c>
      <c r="O2" s="18" t="s">
        <v>156</v>
      </c>
    </row>
    <row r="3" customFormat="false" ht="16.5" hidden="false" customHeight="true" outlineLevel="0" collapsed="false">
      <c r="A3" s="12" t="str">
        <f aca="false">TEXT(ROW()-1,"C-000")</f>
        <v>C-002</v>
      </c>
      <c r="B3" s="11" t="s">
        <v>48</v>
      </c>
      <c r="C3" s="12" t="s">
        <v>317</v>
      </c>
      <c r="D3" s="11" t="s">
        <v>152</v>
      </c>
      <c r="E3" s="16" t="n">
        <v>3.79</v>
      </c>
      <c r="F3" s="12" t="s">
        <v>318</v>
      </c>
      <c r="G3" s="12" t="s">
        <v>233</v>
      </c>
      <c r="H3" s="15" t="n">
        <v>1</v>
      </c>
      <c r="I3" s="15"/>
      <c r="J3" s="12" t="s">
        <v>35</v>
      </c>
      <c r="K3" s="14" t="n">
        <v>46268</v>
      </c>
      <c r="L3" s="14" t="n">
        <v>46300</v>
      </c>
      <c r="M3" s="13"/>
      <c r="N3" s="12" t="s">
        <v>316</v>
      </c>
      <c r="O3" s="18" t="s">
        <v>156</v>
      </c>
    </row>
    <row r="4" customFormat="false" ht="29.25" hidden="false" customHeight="true" outlineLevel="0" collapsed="false">
      <c r="A4" s="12" t="str">
        <f aca="false">TEXT(ROW()-1,"C-000")</f>
        <v>C-003</v>
      </c>
      <c r="B4" s="11" t="s">
        <v>48</v>
      </c>
      <c r="C4" s="12" t="s">
        <v>148</v>
      </c>
      <c r="D4" s="11" t="s">
        <v>152</v>
      </c>
      <c r="E4" s="12" t="s">
        <v>154</v>
      </c>
      <c r="F4" s="12" t="s">
        <v>319</v>
      </c>
      <c r="G4" s="12" t="s">
        <v>148</v>
      </c>
      <c r="H4" s="15" t="n">
        <v>1</v>
      </c>
      <c r="I4" s="15"/>
      <c r="J4" s="12" t="s">
        <v>35</v>
      </c>
      <c r="K4" s="14" t="n">
        <v>46268</v>
      </c>
      <c r="L4" s="14" t="n">
        <v>46300</v>
      </c>
      <c r="M4" s="12" t="s">
        <v>320</v>
      </c>
      <c r="N4" s="12" t="s">
        <v>316</v>
      </c>
      <c r="O4" s="18" t="s">
        <v>156</v>
      </c>
    </row>
    <row r="5" customFormat="false" ht="32.25" hidden="false" customHeight="true" outlineLevel="0" collapsed="false">
      <c r="A5" s="12" t="str">
        <f aca="false">TEXT(ROW()-1,"C-000")</f>
        <v>C-004</v>
      </c>
      <c r="B5" s="11" t="s">
        <v>55</v>
      </c>
      <c r="C5" s="12" t="s">
        <v>142</v>
      </c>
      <c r="D5" s="11" t="s">
        <v>157</v>
      </c>
      <c r="E5" s="15" t="n">
        <v>296</v>
      </c>
      <c r="F5" s="12" t="s">
        <v>153</v>
      </c>
      <c r="G5" s="12" t="s">
        <v>233</v>
      </c>
      <c r="H5" s="15" t="n">
        <v>1</v>
      </c>
      <c r="I5" s="15"/>
      <c r="J5" s="12" t="s">
        <v>34</v>
      </c>
      <c r="K5" s="14" t="n">
        <v>46236</v>
      </c>
      <c r="L5" s="14" t="n">
        <v>46300</v>
      </c>
      <c r="M5" s="11" t="s">
        <v>159</v>
      </c>
      <c r="N5" s="12" t="s">
        <v>316</v>
      </c>
      <c r="O5" s="18" t="s">
        <v>160</v>
      </c>
    </row>
    <row r="6" customFormat="false" ht="16.5" hidden="false" customHeight="true" outlineLevel="0" collapsed="false">
      <c r="A6" s="12" t="str">
        <f aca="false">TEXT(ROW()-1,"C-000")</f>
        <v>C-005</v>
      </c>
      <c r="B6" s="11" t="s">
        <v>55</v>
      </c>
      <c r="C6" s="12" t="s">
        <v>317</v>
      </c>
      <c r="D6" s="11" t="s">
        <v>157</v>
      </c>
      <c r="E6" s="16" t="n">
        <v>0.86</v>
      </c>
      <c r="F6" s="12" t="s">
        <v>318</v>
      </c>
      <c r="G6" s="12" t="s">
        <v>233</v>
      </c>
      <c r="H6" s="15" t="n">
        <v>1</v>
      </c>
      <c r="I6" s="15"/>
      <c r="J6" s="12" t="s">
        <v>34</v>
      </c>
      <c r="K6" s="14" t="n">
        <v>46236</v>
      </c>
      <c r="L6" s="14" t="n">
        <v>46300</v>
      </c>
      <c r="M6" s="13"/>
      <c r="N6" s="12" t="s">
        <v>316</v>
      </c>
      <c r="O6" s="18" t="s">
        <v>160</v>
      </c>
    </row>
    <row r="7" customFormat="false" ht="32.25" hidden="false" customHeight="true" outlineLevel="0" collapsed="false">
      <c r="A7" s="12" t="str">
        <f aca="false">TEXT(ROW()-1,"C-000")</f>
        <v>C-006</v>
      </c>
      <c r="B7" s="11" t="s">
        <v>55</v>
      </c>
      <c r="C7" s="12" t="s">
        <v>148</v>
      </c>
      <c r="D7" s="11" t="s">
        <v>157</v>
      </c>
      <c r="E7" s="11" t="s">
        <v>158</v>
      </c>
      <c r="F7" s="12" t="s">
        <v>319</v>
      </c>
      <c r="G7" s="12" t="s">
        <v>148</v>
      </c>
      <c r="H7" s="15" t="n">
        <v>1</v>
      </c>
      <c r="I7" s="15"/>
      <c r="J7" s="12" t="s">
        <v>34</v>
      </c>
      <c r="K7" s="14" t="n">
        <v>46236</v>
      </c>
      <c r="L7" s="14" t="n">
        <v>46300</v>
      </c>
      <c r="M7" s="12" t="s">
        <v>320</v>
      </c>
      <c r="N7" s="12" t="s">
        <v>316</v>
      </c>
      <c r="O7" s="18" t="s">
        <v>160</v>
      </c>
    </row>
    <row r="8" customFormat="false" ht="32.25" hidden="false" customHeight="true" outlineLevel="0" collapsed="false">
      <c r="A8" s="12" t="str">
        <f aca="false">TEXT(ROW()-1,"C-000")</f>
        <v>C-007</v>
      </c>
      <c r="B8" s="11" t="s">
        <v>66</v>
      </c>
      <c r="C8" s="12" t="s">
        <v>142</v>
      </c>
      <c r="D8" s="11" t="s">
        <v>161</v>
      </c>
      <c r="E8" s="15" t="n">
        <v>27.39</v>
      </c>
      <c r="F8" s="12" t="s">
        <v>153</v>
      </c>
      <c r="G8" s="12" t="s">
        <v>233</v>
      </c>
      <c r="H8" s="15" t="n">
        <v>1</v>
      </c>
      <c r="I8" s="15"/>
      <c r="J8" s="12" t="s">
        <v>35</v>
      </c>
      <c r="K8" s="14" t="n">
        <v>46235</v>
      </c>
      <c r="L8" s="14" t="n">
        <v>46300</v>
      </c>
      <c r="M8" s="12" t="s">
        <v>163</v>
      </c>
      <c r="N8" s="12" t="s">
        <v>316</v>
      </c>
      <c r="O8" s="18" t="s">
        <v>164</v>
      </c>
    </row>
    <row r="9" customFormat="false" ht="16.5" hidden="false" customHeight="true" outlineLevel="0" collapsed="false">
      <c r="A9" s="12" t="str">
        <f aca="false">TEXT(ROW()-1,"C-000")</f>
        <v>C-008</v>
      </c>
      <c r="B9" s="11" t="s">
        <v>66</v>
      </c>
      <c r="C9" s="12" t="s">
        <v>317</v>
      </c>
      <c r="D9" s="11" t="s">
        <v>161</v>
      </c>
      <c r="E9" s="16" t="n">
        <v>0.37</v>
      </c>
      <c r="F9" s="12" t="s">
        <v>318</v>
      </c>
      <c r="G9" s="12" t="s">
        <v>233</v>
      </c>
      <c r="H9" s="15" t="n">
        <v>1</v>
      </c>
      <c r="I9" s="15"/>
      <c r="J9" s="12" t="s">
        <v>35</v>
      </c>
      <c r="K9" s="14" t="n">
        <v>46235</v>
      </c>
      <c r="L9" s="14" t="n">
        <v>46300</v>
      </c>
      <c r="M9" s="13"/>
      <c r="N9" s="12" t="s">
        <v>316</v>
      </c>
      <c r="O9" s="18" t="s">
        <v>164</v>
      </c>
    </row>
    <row r="10" customFormat="false" ht="16.5" hidden="false" customHeight="true" outlineLevel="0" collapsed="false">
      <c r="A10" s="12" t="str">
        <f aca="false">TEXT(ROW()-1,"C-000")</f>
        <v>C-009</v>
      </c>
      <c r="B10" s="11" t="s">
        <v>66</v>
      </c>
      <c r="C10" s="12" t="s">
        <v>148</v>
      </c>
      <c r="D10" s="11" t="s">
        <v>161</v>
      </c>
      <c r="E10" s="12" t="s">
        <v>162</v>
      </c>
      <c r="F10" s="12" t="s">
        <v>319</v>
      </c>
      <c r="G10" s="12" t="s">
        <v>148</v>
      </c>
      <c r="H10" s="15" t="n">
        <v>1</v>
      </c>
      <c r="I10" s="15"/>
      <c r="J10" s="12" t="s">
        <v>35</v>
      </c>
      <c r="K10" s="14" t="n">
        <v>46235</v>
      </c>
      <c r="L10" s="14" t="n">
        <v>46300</v>
      </c>
      <c r="M10" s="12" t="s">
        <v>320</v>
      </c>
      <c r="N10" s="12" t="s">
        <v>316</v>
      </c>
      <c r="O10" s="18" t="s">
        <v>164</v>
      </c>
    </row>
    <row r="11" customFormat="false" ht="32.25" hidden="false" customHeight="true" outlineLevel="0" collapsed="false">
      <c r="A11" s="12" t="str">
        <f aca="false">TEXT(ROW()-1,"C-000")</f>
        <v>C-010</v>
      </c>
      <c r="B11" s="11" t="s">
        <v>71</v>
      </c>
      <c r="C11" s="12" t="s">
        <v>142</v>
      </c>
      <c r="D11" s="11" t="s">
        <v>152</v>
      </c>
      <c r="E11" s="15" t="n">
        <v>10.063</v>
      </c>
      <c r="F11" s="12" t="s">
        <v>153</v>
      </c>
      <c r="G11" s="12" t="s">
        <v>233</v>
      </c>
      <c r="H11" s="15" t="n">
        <v>1</v>
      </c>
      <c r="I11" s="15"/>
      <c r="J11" s="12" t="s">
        <v>35</v>
      </c>
      <c r="K11" s="14" t="n">
        <v>46200</v>
      </c>
      <c r="L11" s="14" t="n">
        <v>46300</v>
      </c>
      <c r="M11" s="11" t="s">
        <v>166</v>
      </c>
      <c r="N11" s="12" t="s">
        <v>316</v>
      </c>
      <c r="O11" s="18" t="s">
        <v>167</v>
      </c>
    </row>
    <row r="12" customFormat="false" ht="16.5" hidden="false" customHeight="true" outlineLevel="0" collapsed="false">
      <c r="A12" s="12" t="str">
        <f aca="false">TEXT(ROW()-1,"C-000")</f>
        <v>C-011</v>
      </c>
      <c r="B12" s="11" t="s">
        <v>71</v>
      </c>
      <c r="C12" s="12" t="s">
        <v>317</v>
      </c>
      <c r="D12" s="11" t="s">
        <v>152</v>
      </c>
      <c r="E12" s="16" t="n">
        <v>1.093</v>
      </c>
      <c r="F12" s="12" t="s">
        <v>318</v>
      </c>
      <c r="G12" s="12" t="s">
        <v>233</v>
      </c>
      <c r="H12" s="15" t="n">
        <v>1</v>
      </c>
      <c r="I12" s="15"/>
      <c r="J12" s="12" t="s">
        <v>35</v>
      </c>
      <c r="K12" s="14" t="n">
        <v>46200</v>
      </c>
      <c r="L12" s="14" t="n">
        <v>46300</v>
      </c>
      <c r="M12" s="13"/>
      <c r="N12" s="12" t="s">
        <v>316</v>
      </c>
      <c r="O12" s="18" t="s">
        <v>167</v>
      </c>
    </row>
    <row r="13" customFormat="false" ht="16.5" hidden="false" customHeight="true" outlineLevel="0" collapsed="false">
      <c r="A13" s="12" t="str">
        <f aca="false">TEXT(ROW()-1,"C-000")</f>
        <v>C-012</v>
      </c>
      <c r="B13" s="11" t="s">
        <v>71</v>
      </c>
      <c r="C13" s="12" t="s">
        <v>148</v>
      </c>
      <c r="D13" s="11" t="s">
        <v>152</v>
      </c>
      <c r="E13" s="12" t="s">
        <v>165</v>
      </c>
      <c r="F13" s="12" t="s">
        <v>319</v>
      </c>
      <c r="G13" s="12" t="s">
        <v>148</v>
      </c>
      <c r="H13" s="15" t="n">
        <v>1</v>
      </c>
      <c r="I13" s="15"/>
      <c r="J13" s="12" t="s">
        <v>35</v>
      </c>
      <c r="K13" s="14" t="n">
        <v>46200</v>
      </c>
      <c r="L13" s="14" t="n">
        <v>46300</v>
      </c>
      <c r="M13" s="12" t="s">
        <v>320</v>
      </c>
      <c r="N13" s="12" t="s">
        <v>316</v>
      </c>
      <c r="O13" s="18" t="s">
        <v>167</v>
      </c>
    </row>
    <row r="14" customFormat="false" ht="16.5" hidden="false" customHeight="true" outlineLevel="0" collapsed="false">
      <c r="A14" s="12" t="str">
        <f aca="false">TEXT(ROW()-1,"C-000")</f>
        <v>C-013</v>
      </c>
      <c r="B14" s="11" t="s">
        <v>75</v>
      </c>
      <c r="C14" s="12" t="s">
        <v>142</v>
      </c>
      <c r="D14" s="11" t="s">
        <v>152</v>
      </c>
      <c r="E14" s="15" t="n">
        <v>20.5</v>
      </c>
      <c r="F14" s="12" t="s">
        <v>153</v>
      </c>
      <c r="G14" s="12" t="s">
        <v>233</v>
      </c>
      <c r="H14" s="15" t="n">
        <v>1</v>
      </c>
      <c r="I14" s="15"/>
      <c r="J14" s="12" t="s">
        <v>35</v>
      </c>
      <c r="K14" s="14" t="n">
        <v>46203</v>
      </c>
      <c r="L14" s="14" t="n">
        <v>46300</v>
      </c>
      <c r="M14" s="12" t="s">
        <v>168</v>
      </c>
      <c r="N14" s="12" t="s">
        <v>316</v>
      </c>
      <c r="O14" s="18" t="s">
        <v>169</v>
      </c>
    </row>
    <row r="15" customFormat="false" ht="16.5" hidden="false" customHeight="true" outlineLevel="0" collapsed="false">
      <c r="A15" s="12" t="str">
        <f aca="false">TEXT(ROW()-1,"C-000")</f>
        <v>C-014</v>
      </c>
      <c r="B15" s="11" t="s">
        <v>75</v>
      </c>
      <c r="C15" s="12" t="s">
        <v>317</v>
      </c>
      <c r="D15" s="11" t="s">
        <v>152</v>
      </c>
      <c r="E15" s="16" t="n">
        <v>0.34</v>
      </c>
      <c r="F15" s="12" t="s">
        <v>318</v>
      </c>
      <c r="G15" s="12" t="s">
        <v>233</v>
      </c>
      <c r="H15" s="15" t="n">
        <v>1</v>
      </c>
      <c r="I15" s="15"/>
      <c r="J15" s="12" t="s">
        <v>35</v>
      </c>
      <c r="K15" s="14" t="n">
        <v>46203</v>
      </c>
      <c r="L15" s="14" t="n">
        <v>46300</v>
      </c>
      <c r="M15" s="13"/>
      <c r="N15" s="12" t="s">
        <v>316</v>
      </c>
      <c r="O15" s="18" t="s">
        <v>169</v>
      </c>
    </row>
    <row r="16" customFormat="false" ht="32.25" hidden="false" customHeight="true" outlineLevel="0" collapsed="false">
      <c r="A16" s="12" t="str">
        <f aca="false">TEXT(ROW()-1,"C-000")</f>
        <v>C-015</v>
      </c>
      <c r="B16" s="11" t="s">
        <v>78</v>
      </c>
      <c r="C16" s="12" t="s">
        <v>142</v>
      </c>
      <c r="D16" s="11" t="s">
        <v>170</v>
      </c>
      <c r="E16" s="15" t="n">
        <v>30.36</v>
      </c>
      <c r="F16" s="12" t="s">
        <v>153</v>
      </c>
      <c r="G16" s="12" t="s">
        <v>233</v>
      </c>
      <c r="H16" s="15" t="n">
        <v>1</v>
      </c>
      <c r="I16" s="15"/>
      <c r="J16" s="12" t="s">
        <v>34</v>
      </c>
      <c r="K16" s="14" t="n">
        <v>46203</v>
      </c>
      <c r="L16" s="14" t="n">
        <v>46300</v>
      </c>
      <c r="M16" s="11" t="s">
        <v>172</v>
      </c>
      <c r="N16" s="12" t="s">
        <v>316</v>
      </c>
      <c r="O16" s="18" t="s">
        <v>173</v>
      </c>
    </row>
    <row r="17" customFormat="false" ht="16.5" hidden="false" customHeight="true" outlineLevel="0" collapsed="false">
      <c r="A17" s="12" t="str">
        <f aca="false">TEXT(ROW()-1,"C-000")</f>
        <v>C-016</v>
      </c>
      <c r="B17" s="11" t="s">
        <v>78</v>
      </c>
      <c r="C17" s="12" t="s">
        <v>317</v>
      </c>
      <c r="D17" s="11" t="s">
        <v>170</v>
      </c>
      <c r="E17" s="16" t="n">
        <v>0.377</v>
      </c>
      <c r="F17" s="12" t="s">
        <v>318</v>
      </c>
      <c r="G17" s="12" t="s">
        <v>233</v>
      </c>
      <c r="H17" s="15" t="n">
        <v>1</v>
      </c>
      <c r="I17" s="15"/>
      <c r="J17" s="12" t="s">
        <v>34</v>
      </c>
      <c r="K17" s="14" t="n">
        <v>46203</v>
      </c>
      <c r="L17" s="14" t="n">
        <v>46300</v>
      </c>
      <c r="M17" s="13"/>
      <c r="N17" s="12" t="s">
        <v>316</v>
      </c>
      <c r="O17" s="18" t="s">
        <v>173</v>
      </c>
    </row>
    <row r="18" customFormat="false" ht="32.25" hidden="false" customHeight="true" outlineLevel="0" collapsed="false">
      <c r="A18" s="12" t="str">
        <f aca="false">TEXT(ROW()-1,"C-000")</f>
        <v>C-017</v>
      </c>
      <c r="B18" s="11" t="s">
        <v>78</v>
      </c>
      <c r="C18" s="12" t="s">
        <v>148</v>
      </c>
      <c r="D18" s="11" t="s">
        <v>170</v>
      </c>
      <c r="E18" s="12" t="s">
        <v>171</v>
      </c>
      <c r="F18" s="12" t="s">
        <v>319</v>
      </c>
      <c r="G18" s="12" t="s">
        <v>148</v>
      </c>
      <c r="H18" s="15" t="n">
        <v>1</v>
      </c>
      <c r="I18" s="15"/>
      <c r="J18" s="12" t="s">
        <v>34</v>
      </c>
      <c r="K18" s="14" t="n">
        <v>46203</v>
      </c>
      <c r="L18" s="14" t="n">
        <v>46300</v>
      </c>
      <c r="M18" s="12" t="s">
        <v>320</v>
      </c>
      <c r="N18" s="12" t="s">
        <v>316</v>
      </c>
      <c r="O18" s="18" t="s">
        <v>173</v>
      </c>
    </row>
    <row r="19" customFormat="false" ht="32.25" hidden="false" customHeight="true" outlineLevel="0" collapsed="false">
      <c r="A19" s="12" t="str">
        <f aca="false">TEXT(ROW()-1,"C-000")</f>
        <v>C-018</v>
      </c>
      <c r="B19" s="11" t="s">
        <v>82</v>
      </c>
      <c r="C19" s="12" t="s">
        <v>142</v>
      </c>
      <c r="D19" s="11" t="s">
        <v>170</v>
      </c>
      <c r="E19" s="15" t="n">
        <v>32.74</v>
      </c>
      <c r="F19" s="12" t="s">
        <v>153</v>
      </c>
      <c r="G19" s="12" t="s">
        <v>233</v>
      </c>
      <c r="H19" s="15" t="n">
        <v>1</v>
      </c>
      <c r="I19" s="15"/>
      <c r="J19" s="12" t="s">
        <v>35</v>
      </c>
      <c r="K19" s="14" t="n">
        <v>46203</v>
      </c>
      <c r="L19" s="14" t="n">
        <v>46300</v>
      </c>
      <c r="M19" s="12" t="s">
        <v>175</v>
      </c>
      <c r="N19" s="12" t="s">
        <v>316</v>
      </c>
      <c r="O19" s="18" t="s">
        <v>176</v>
      </c>
    </row>
    <row r="20" customFormat="false" ht="16.5" hidden="false" customHeight="true" outlineLevel="0" collapsed="false">
      <c r="A20" s="12" t="str">
        <f aca="false">TEXT(ROW()-1,"C-000")</f>
        <v>C-019</v>
      </c>
      <c r="B20" s="11" t="s">
        <v>82</v>
      </c>
      <c r="C20" s="12" t="s">
        <v>317</v>
      </c>
      <c r="D20" s="11" t="s">
        <v>170</v>
      </c>
      <c r="E20" s="16" t="n">
        <v>0.24</v>
      </c>
      <c r="F20" s="12" t="s">
        <v>318</v>
      </c>
      <c r="G20" s="12" t="s">
        <v>233</v>
      </c>
      <c r="H20" s="15" t="n">
        <v>1</v>
      </c>
      <c r="I20" s="15"/>
      <c r="J20" s="12" t="s">
        <v>35</v>
      </c>
      <c r="K20" s="14" t="n">
        <v>46203</v>
      </c>
      <c r="L20" s="14" t="n">
        <v>46300</v>
      </c>
      <c r="M20" s="13"/>
      <c r="N20" s="12" t="s">
        <v>316</v>
      </c>
      <c r="O20" s="18" t="s">
        <v>176</v>
      </c>
    </row>
    <row r="21" customFormat="false" ht="16.5" hidden="false" customHeight="true" outlineLevel="0" collapsed="false">
      <c r="A21" s="12" t="str">
        <f aca="false">TEXT(ROW()-1,"C-000")</f>
        <v>C-020</v>
      </c>
      <c r="B21" s="11" t="s">
        <v>82</v>
      </c>
      <c r="C21" s="12" t="s">
        <v>148</v>
      </c>
      <c r="D21" s="11" t="s">
        <v>170</v>
      </c>
      <c r="E21" s="12" t="s">
        <v>174</v>
      </c>
      <c r="F21" s="12" t="s">
        <v>319</v>
      </c>
      <c r="G21" s="12" t="s">
        <v>148</v>
      </c>
      <c r="H21" s="15" t="n">
        <v>1</v>
      </c>
      <c r="I21" s="15"/>
      <c r="J21" s="12" t="s">
        <v>35</v>
      </c>
      <c r="K21" s="14" t="n">
        <v>46203</v>
      </c>
      <c r="L21" s="14" t="n">
        <v>46300</v>
      </c>
      <c r="M21" s="12" t="s">
        <v>320</v>
      </c>
      <c r="N21" s="12" t="s">
        <v>316</v>
      </c>
      <c r="O21" s="18" t="s">
        <v>176</v>
      </c>
    </row>
    <row r="22" customFormat="false" ht="32.25" hidden="false" customHeight="true" outlineLevel="0" collapsed="false">
      <c r="A22" s="12" t="str">
        <f aca="false">TEXT(ROW()-1,"C-000")</f>
        <v>C-021</v>
      </c>
      <c r="B22" s="11" t="s">
        <v>85</v>
      </c>
      <c r="C22" s="12" t="s">
        <v>142</v>
      </c>
      <c r="D22" s="11" t="s">
        <v>170</v>
      </c>
      <c r="E22" s="15" t="n">
        <v>85</v>
      </c>
      <c r="F22" s="12" t="s">
        <v>153</v>
      </c>
      <c r="G22" s="12" t="s">
        <v>233</v>
      </c>
      <c r="H22" s="15" t="n">
        <v>1</v>
      </c>
      <c r="I22" s="15"/>
      <c r="J22" s="12" t="s">
        <v>35</v>
      </c>
      <c r="K22" s="14" t="n">
        <v>46203</v>
      </c>
      <c r="L22" s="14" t="n">
        <v>46300</v>
      </c>
      <c r="M22" s="12" t="s">
        <v>178</v>
      </c>
      <c r="N22" s="12" t="s">
        <v>316</v>
      </c>
      <c r="O22" s="18" t="s">
        <v>179</v>
      </c>
    </row>
    <row r="23" customFormat="false" ht="16.5" hidden="false" customHeight="true" outlineLevel="0" collapsed="false">
      <c r="A23" s="12" t="str">
        <f aca="false">TEXT(ROW()-1,"C-000")</f>
        <v>C-022</v>
      </c>
      <c r="B23" s="11" t="s">
        <v>85</v>
      </c>
      <c r="C23" s="12" t="s">
        <v>317</v>
      </c>
      <c r="D23" s="11" t="s">
        <v>170</v>
      </c>
      <c r="E23" s="16" t="n">
        <v>0.21</v>
      </c>
      <c r="F23" s="12" t="s">
        <v>318</v>
      </c>
      <c r="G23" s="12" t="s">
        <v>233</v>
      </c>
      <c r="H23" s="15" t="n">
        <v>1</v>
      </c>
      <c r="I23" s="15"/>
      <c r="J23" s="12" t="s">
        <v>35</v>
      </c>
      <c r="K23" s="14" t="n">
        <v>46203</v>
      </c>
      <c r="L23" s="14" t="n">
        <v>46300</v>
      </c>
      <c r="M23" s="13"/>
      <c r="N23" s="12" t="s">
        <v>316</v>
      </c>
      <c r="O23" s="18" t="s">
        <v>179</v>
      </c>
    </row>
    <row r="24" customFormat="false" ht="16.5" hidden="false" customHeight="true" outlineLevel="0" collapsed="false">
      <c r="A24" s="12" t="str">
        <f aca="false">TEXT(ROW()-1,"C-000")</f>
        <v>C-023</v>
      </c>
      <c r="B24" s="11" t="s">
        <v>85</v>
      </c>
      <c r="C24" s="12" t="s">
        <v>148</v>
      </c>
      <c r="D24" s="11" t="s">
        <v>170</v>
      </c>
      <c r="E24" s="12" t="s">
        <v>177</v>
      </c>
      <c r="F24" s="12" t="s">
        <v>319</v>
      </c>
      <c r="G24" s="12" t="s">
        <v>148</v>
      </c>
      <c r="H24" s="15" t="n">
        <v>1</v>
      </c>
      <c r="I24" s="15"/>
      <c r="J24" s="12" t="s">
        <v>35</v>
      </c>
      <c r="K24" s="14" t="n">
        <v>46203</v>
      </c>
      <c r="L24" s="14" t="n">
        <v>46300</v>
      </c>
      <c r="M24" s="12" t="s">
        <v>320</v>
      </c>
      <c r="N24" s="12" t="s">
        <v>316</v>
      </c>
      <c r="O24" s="18" t="s">
        <v>179</v>
      </c>
    </row>
    <row r="25" customFormat="false" ht="32.25" hidden="false" customHeight="true" outlineLevel="0" collapsed="false">
      <c r="A25" s="12" t="str">
        <f aca="false">TEXT(ROW()-1,"C-000")</f>
        <v>C-024</v>
      </c>
      <c r="B25" s="11" t="s">
        <v>89</v>
      </c>
      <c r="C25" s="12" t="s">
        <v>142</v>
      </c>
      <c r="D25" s="11" t="s">
        <v>170</v>
      </c>
      <c r="E25" s="15" t="n">
        <v>87.58</v>
      </c>
      <c r="F25" s="12" t="s">
        <v>153</v>
      </c>
      <c r="G25" s="12" t="s">
        <v>233</v>
      </c>
      <c r="H25" s="15" t="n">
        <v>1</v>
      </c>
      <c r="I25" s="15"/>
      <c r="J25" s="12" t="s">
        <v>35</v>
      </c>
      <c r="K25" s="14" t="n">
        <v>46203</v>
      </c>
      <c r="L25" s="14" t="n">
        <v>46300</v>
      </c>
      <c r="M25" s="12" t="s">
        <v>181</v>
      </c>
      <c r="N25" s="12" t="s">
        <v>316</v>
      </c>
      <c r="O25" s="18" t="s">
        <v>182</v>
      </c>
    </row>
    <row r="26" customFormat="false" ht="16.5" hidden="false" customHeight="true" outlineLevel="0" collapsed="false">
      <c r="A26" s="12" t="str">
        <f aca="false">TEXT(ROW()-1,"C-000")</f>
        <v>C-025</v>
      </c>
      <c r="B26" s="11" t="s">
        <v>89</v>
      </c>
      <c r="C26" s="12" t="s">
        <v>317</v>
      </c>
      <c r="D26" s="11" t="s">
        <v>170</v>
      </c>
      <c r="E26" s="16" t="n">
        <v>0.55</v>
      </c>
      <c r="F26" s="12" t="s">
        <v>318</v>
      </c>
      <c r="G26" s="12" t="s">
        <v>233</v>
      </c>
      <c r="H26" s="15" t="n">
        <v>1</v>
      </c>
      <c r="I26" s="15"/>
      <c r="J26" s="12" t="s">
        <v>35</v>
      </c>
      <c r="K26" s="14" t="n">
        <v>46203</v>
      </c>
      <c r="L26" s="14" t="n">
        <v>46300</v>
      </c>
      <c r="M26" s="13"/>
      <c r="N26" s="12" t="s">
        <v>316</v>
      </c>
      <c r="O26" s="18" t="s">
        <v>182</v>
      </c>
    </row>
    <row r="27" customFormat="false" ht="16.5" hidden="false" customHeight="true" outlineLevel="0" collapsed="false">
      <c r="A27" s="12" t="str">
        <f aca="false">TEXT(ROW()-1,"C-000")</f>
        <v>C-026</v>
      </c>
      <c r="B27" s="11" t="s">
        <v>89</v>
      </c>
      <c r="C27" s="12" t="s">
        <v>148</v>
      </c>
      <c r="D27" s="11" t="s">
        <v>170</v>
      </c>
      <c r="E27" s="11" t="s">
        <v>180</v>
      </c>
      <c r="F27" s="12" t="s">
        <v>319</v>
      </c>
      <c r="G27" s="12" t="s">
        <v>148</v>
      </c>
      <c r="H27" s="15" t="n">
        <v>1</v>
      </c>
      <c r="I27" s="15"/>
      <c r="J27" s="12" t="s">
        <v>35</v>
      </c>
      <c r="K27" s="14" t="n">
        <v>46203</v>
      </c>
      <c r="L27" s="14" t="n">
        <v>46300</v>
      </c>
      <c r="M27" s="12" t="s">
        <v>320</v>
      </c>
      <c r="N27" s="12" t="s">
        <v>316</v>
      </c>
      <c r="O27" s="18" t="s">
        <v>182</v>
      </c>
    </row>
    <row r="28" customFormat="false" ht="16.5" hidden="false" customHeight="true" outlineLevel="0" collapsed="false">
      <c r="A28" s="12" t="str">
        <f aca="false">TEXT(ROW()-1,"C-000")</f>
        <v>C-027</v>
      </c>
      <c r="B28" s="11" t="s">
        <v>92</v>
      </c>
      <c r="C28" s="12" t="s">
        <v>142</v>
      </c>
      <c r="D28" s="11" t="s">
        <v>183</v>
      </c>
      <c r="E28" s="15" t="n">
        <v>3675</v>
      </c>
      <c r="F28" s="12" t="s">
        <v>184</v>
      </c>
      <c r="G28" s="12" t="s">
        <v>233</v>
      </c>
      <c r="H28" s="15" t="n">
        <v>1</v>
      </c>
      <c r="I28" s="15"/>
      <c r="J28" s="12" t="s">
        <v>35</v>
      </c>
      <c r="K28" s="14" t="n">
        <v>46203</v>
      </c>
      <c r="L28" s="14" t="n">
        <v>46300</v>
      </c>
      <c r="M28" s="12" t="s">
        <v>186</v>
      </c>
      <c r="N28" s="12" t="s">
        <v>316</v>
      </c>
      <c r="O28" s="18" t="s">
        <v>187</v>
      </c>
    </row>
    <row r="29" customFormat="false" ht="16.5" hidden="false" customHeight="true" outlineLevel="0" collapsed="false">
      <c r="A29" s="12" t="str">
        <f aca="false">TEXT(ROW()-1,"C-000")</f>
        <v>C-028</v>
      </c>
      <c r="B29" s="11" t="s">
        <v>92</v>
      </c>
      <c r="C29" s="12" t="s">
        <v>317</v>
      </c>
      <c r="D29" s="11" t="s">
        <v>183</v>
      </c>
      <c r="E29" s="16" t="n">
        <v>0.393</v>
      </c>
      <c r="F29" s="12" t="s">
        <v>318</v>
      </c>
      <c r="G29" s="12" t="s">
        <v>233</v>
      </c>
      <c r="H29" s="15" t="n">
        <v>1</v>
      </c>
      <c r="I29" s="15"/>
      <c r="J29" s="12" t="s">
        <v>35</v>
      </c>
      <c r="K29" s="14" t="n">
        <v>46203</v>
      </c>
      <c r="L29" s="14" t="n">
        <v>46300</v>
      </c>
      <c r="M29" s="13"/>
      <c r="N29" s="12" t="s">
        <v>316</v>
      </c>
      <c r="O29" s="18" t="s">
        <v>187</v>
      </c>
    </row>
    <row r="30" customFormat="false" ht="16.5" hidden="false" customHeight="true" outlineLevel="0" collapsed="false">
      <c r="A30" s="12" t="str">
        <f aca="false">TEXT(ROW()-1,"C-000")</f>
        <v>C-029</v>
      </c>
      <c r="B30" s="11" t="s">
        <v>92</v>
      </c>
      <c r="C30" s="12" t="s">
        <v>148</v>
      </c>
      <c r="D30" s="11" t="s">
        <v>183</v>
      </c>
      <c r="E30" s="12" t="s">
        <v>185</v>
      </c>
      <c r="F30" s="12" t="s">
        <v>319</v>
      </c>
      <c r="G30" s="12" t="s">
        <v>148</v>
      </c>
      <c r="H30" s="15" t="n">
        <v>1</v>
      </c>
      <c r="I30" s="15"/>
      <c r="J30" s="12" t="s">
        <v>35</v>
      </c>
      <c r="K30" s="14" t="n">
        <v>46203</v>
      </c>
      <c r="L30" s="14" t="n">
        <v>46300</v>
      </c>
      <c r="M30" s="12" t="s">
        <v>320</v>
      </c>
      <c r="N30" s="12" t="s">
        <v>316</v>
      </c>
      <c r="O30" s="18" t="s">
        <v>187</v>
      </c>
    </row>
    <row r="31" customFormat="false" ht="16.5" hidden="false" customHeight="true" outlineLevel="0" collapsed="false">
      <c r="A31" s="12" t="str">
        <f aca="false">TEXT(ROW()-1,"C-000")</f>
        <v>C-030</v>
      </c>
      <c r="B31" s="11" t="s">
        <v>97</v>
      </c>
      <c r="C31" s="12" t="s">
        <v>142</v>
      </c>
      <c r="D31" s="11" t="s">
        <v>152</v>
      </c>
      <c r="E31" s="15" t="n">
        <v>34.1</v>
      </c>
      <c r="F31" s="12" t="s">
        <v>153</v>
      </c>
      <c r="G31" s="12" t="s">
        <v>233</v>
      </c>
      <c r="H31" s="15" t="n">
        <v>1</v>
      </c>
      <c r="I31" s="15"/>
      <c r="J31" s="12" t="s">
        <v>35</v>
      </c>
      <c r="K31" s="14" t="n">
        <v>46234</v>
      </c>
      <c r="L31" s="14" t="n">
        <v>46300</v>
      </c>
      <c r="M31" s="12" t="s">
        <v>189</v>
      </c>
      <c r="N31" s="12" t="s">
        <v>316</v>
      </c>
      <c r="O31" s="18" t="s">
        <v>190</v>
      </c>
    </row>
    <row r="32" customFormat="false" ht="16.5" hidden="false" customHeight="true" outlineLevel="0" collapsed="false">
      <c r="A32" s="12" t="str">
        <f aca="false">TEXT(ROW()-1,"C-000")</f>
        <v>C-031</v>
      </c>
      <c r="B32" s="11" t="s">
        <v>97</v>
      </c>
      <c r="C32" s="12" t="s">
        <v>317</v>
      </c>
      <c r="D32" s="11" t="s">
        <v>152</v>
      </c>
      <c r="E32" s="16" t="n">
        <v>0.34</v>
      </c>
      <c r="F32" s="12" t="s">
        <v>318</v>
      </c>
      <c r="G32" s="12" t="s">
        <v>233</v>
      </c>
      <c r="H32" s="15" t="n">
        <v>1</v>
      </c>
      <c r="I32" s="15"/>
      <c r="J32" s="12" t="s">
        <v>35</v>
      </c>
      <c r="K32" s="14" t="n">
        <v>46234</v>
      </c>
      <c r="L32" s="14" t="n">
        <v>46300</v>
      </c>
      <c r="M32" s="13"/>
      <c r="N32" s="12" t="s">
        <v>316</v>
      </c>
      <c r="O32" s="18" t="s">
        <v>190</v>
      </c>
    </row>
    <row r="33" customFormat="false" ht="32.25" hidden="false" customHeight="true" outlineLevel="0" collapsed="false">
      <c r="A33" s="12" t="str">
        <f aca="false">TEXT(ROW()-1,"C-000")</f>
        <v>C-032</v>
      </c>
      <c r="B33" s="11" t="s">
        <v>97</v>
      </c>
      <c r="C33" s="12" t="s">
        <v>148</v>
      </c>
      <c r="D33" s="11" t="s">
        <v>152</v>
      </c>
      <c r="E33" s="12" t="s">
        <v>188</v>
      </c>
      <c r="F33" s="12" t="s">
        <v>319</v>
      </c>
      <c r="G33" s="12" t="s">
        <v>148</v>
      </c>
      <c r="H33" s="15" t="n">
        <v>1</v>
      </c>
      <c r="I33" s="15"/>
      <c r="J33" s="12" t="s">
        <v>35</v>
      </c>
      <c r="K33" s="14" t="n">
        <v>46234</v>
      </c>
      <c r="L33" s="14" t="n">
        <v>46300</v>
      </c>
      <c r="M33" s="12" t="s">
        <v>320</v>
      </c>
      <c r="N33" s="12" t="s">
        <v>316</v>
      </c>
      <c r="O33" s="18" t="s">
        <v>190</v>
      </c>
    </row>
    <row r="34" customFormat="false" ht="32.25" hidden="false" customHeight="true" outlineLevel="0" collapsed="false">
      <c r="A34" s="12" t="str">
        <f aca="false">TEXT(ROW()-1,"C-000")</f>
        <v>C-033</v>
      </c>
      <c r="B34" s="11" t="s">
        <v>101</v>
      </c>
      <c r="C34" s="12" t="s">
        <v>142</v>
      </c>
      <c r="D34" s="11" t="s">
        <v>170</v>
      </c>
      <c r="E34" s="15" t="n">
        <v>111</v>
      </c>
      <c r="F34" s="12" t="s">
        <v>153</v>
      </c>
      <c r="G34" s="12" t="s">
        <v>233</v>
      </c>
      <c r="H34" s="15" t="n">
        <v>1</v>
      </c>
      <c r="I34" s="15"/>
      <c r="J34" s="12" t="s">
        <v>35</v>
      </c>
      <c r="K34" s="14" t="n">
        <v>46203</v>
      </c>
      <c r="L34" s="14" t="n">
        <v>46300</v>
      </c>
      <c r="M34" s="12" t="s">
        <v>192</v>
      </c>
      <c r="N34" s="12" t="s">
        <v>316</v>
      </c>
      <c r="O34" s="18" t="s">
        <v>193</v>
      </c>
    </row>
    <row r="35" customFormat="false" ht="16.5" hidden="false" customHeight="true" outlineLevel="0" collapsed="false">
      <c r="A35" s="12" t="str">
        <f aca="false">TEXT(ROW()-1,"C-000")</f>
        <v>C-034</v>
      </c>
      <c r="B35" s="11" t="s">
        <v>101</v>
      </c>
      <c r="C35" s="12" t="s">
        <v>317</v>
      </c>
      <c r="D35" s="11" t="s">
        <v>170</v>
      </c>
      <c r="E35" s="16" t="n">
        <v>0.22</v>
      </c>
      <c r="F35" s="12" t="s">
        <v>318</v>
      </c>
      <c r="G35" s="12" t="s">
        <v>233</v>
      </c>
      <c r="H35" s="15" t="n">
        <v>1</v>
      </c>
      <c r="I35" s="15"/>
      <c r="J35" s="12" t="s">
        <v>35</v>
      </c>
      <c r="K35" s="14" t="n">
        <v>46203</v>
      </c>
      <c r="L35" s="14" t="n">
        <v>46300</v>
      </c>
      <c r="M35" s="13"/>
      <c r="N35" s="12" t="s">
        <v>316</v>
      </c>
      <c r="O35" s="18" t="s">
        <v>193</v>
      </c>
    </row>
    <row r="36" customFormat="false" ht="16.5" hidden="false" customHeight="true" outlineLevel="0" collapsed="false">
      <c r="A36" s="12" t="str">
        <f aca="false">TEXT(ROW()-1,"C-000")</f>
        <v>C-035</v>
      </c>
      <c r="B36" s="11" t="s">
        <v>101</v>
      </c>
      <c r="C36" s="12" t="s">
        <v>148</v>
      </c>
      <c r="D36" s="11" t="s">
        <v>170</v>
      </c>
      <c r="E36" s="12" t="s">
        <v>191</v>
      </c>
      <c r="F36" s="12" t="s">
        <v>319</v>
      </c>
      <c r="G36" s="12" t="s">
        <v>148</v>
      </c>
      <c r="H36" s="15" t="n">
        <v>1</v>
      </c>
      <c r="I36" s="15"/>
      <c r="J36" s="12" t="s">
        <v>35</v>
      </c>
      <c r="K36" s="14" t="n">
        <v>46203</v>
      </c>
      <c r="L36" s="14" t="n">
        <v>46300</v>
      </c>
      <c r="M36" s="12" t="s">
        <v>320</v>
      </c>
      <c r="N36" s="12" t="s">
        <v>316</v>
      </c>
      <c r="O36" s="18" t="s">
        <v>193</v>
      </c>
    </row>
    <row r="37" customFormat="false" ht="16.5" hidden="false" customHeight="true" outlineLevel="0" collapsed="false">
      <c r="A37" s="12" t="str">
        <f aca="false">TEXT(ROW()-1,"C-000")</f>
        <v>C-036</v>
      </c>
      <c r="B37" s="11" t="s">
        <v>198</v>
      </c>
      <c r="C37" s="12" t="s">
        <v>321</v>
      </c>
      <c r="D37" s="11" t="s">
        <v>200</v>
      </c>
      <c r="E37" s="15" t="n">
        <v>5148.05</v>
      </c>
      <c r="F37" s="12" t="s">
        <v>322</v>
      </c>
      <c r="G37" s="12" t="s">
        <v>233</v>
      </c>
      <c r="H37" s="15" t="n">
        <v>4</v>
      </c>
      <c r="I37" s="15"/>
      <c r="J37" s="12" t="s">
        <v>35</v>
      </c>
      <c r="K37" s="14" t="n">
        <v>46262</v>
      </c>
      <c r="L37" s="14" t="n">
        <v>46300</v>
      </c>
      <c r="M37" s="12" t="s">
        <v>201</v>
      </c>
      <c r="N37" s="12" t="s">
        <v>323</v>
      </c>
      <c r="O37" s="18" t="s">
        <v>202</v>
      </c>
    </row>
    <row r="38" customFormat="false" ht="16.5" hidden="false" customHeight="true" outlineLevel="0" collapsed="false">
      <c r="A38" s="12" t="str">
        <f aca="false">TEXT(ROW()-1,"C-000")</f>
        <v>C-037</v>
      </c>
      <c r="B38" s="11" t="s">
        <v>198</v>
      </c>
      <c r="C38" s="12" t="s">
        <v>324</v>
      </c>
      <c r="D38" s="11" t="s">
        <v>200</v>
      </c>
      <c r="E38" s="16" t="n">
        <v>0.533</v>
      </c>
      <c r="F38" s="12" t="s">
        <v>318</v>
      </c>
      <c r="G38" s="12" t="s">
        <v>233</v>
      </c>
      <c r="H38" s="15" t="n">
        <v>4</v>
      </c>
      <c r="I38" s="15"/>
      <c r="J38" s="12" t="s">
        <v>35</v>
      </c>
      <c r="K38" s="14" t="n">
        <v>46262</v>
      </c>
      <c r="L38" s="14" t="n">
        <v>46300</v>
      </c>
      <c r="M38" s="13"/>
      <c r="N38" s="12" t="s">
        <v>323</v>
      </c>
      <c r="O38" s="18" t="s">
        <v>202</v>
      </c>
    </row>
    <row r="39" customFormat="false" ht="16.5" hidden="false" customHeight="true" outlineLevel="0" collapsed="false">
      <c r="A39" s="12" t="str">
        <f aca="false">TEXT(ROW()-1,"C-000")</f>
        <v>C-038</v>
      </c>
      <c r="B39" s="11" t="s">
        <v>104</v>
      </c>
      <c r="C39" s="12" t="s">
        <v>321</v>
      </c>
      <c r="D39" s="11" t="s">
        <v>200</v>
      </c>
      <c r="E39" s="15" t="n">
        <v>446.9</v>
      </c>
      <c r="F39" s="12" t="s">
        <v>322</v>
      </c>
      <c r="G39" s="12" t="s">
        <v>233</v>
      </c>
      <c r="H39" s="15" t="n">
        <v>4</v>
      </c>
      <c r="I39" s="15"/>
      <c r="J39" s="12" t="s">
        <v>35</v>
      </c>
      <c r="K39" s="14" t="n">
        <v>46262</v>
      </c>
      <c r="L39" s="14" t="n">
        <v>46300</v>
      </c>
      <c r="M39" s="12" t="s">
        <v>203</v>
      </c>
      <c r="N39" s="12" t="s">
        <v>323</v>
      </c>
      <c r="O39" s="18" t="s">
        <v>204</v>
      </c>
    </row>
    <row r="40" customFormat="false" ht="16.5" hidden="false" customHeight="true" outlineLevel="0" collapsed="false">
      <c r="A40" s="12" t="str">
        <f aca="false">TEXT(ROW()-1,"C-000")</f>
        <v>C-039</v>
      </c>
      <c r="B40" s="11" t="s">
        <v>104</v>
      </c>
      <c r="C40" s="12" t="s">
        <v>324</v>
      </c>
      <c r="D40" s="11" t="s">
        <v>200</v>
      </c>
      <c r="E40" s="16" t="n">
        <v>5.609</v>
      </c>
      <c r="F40" s="12" t="s">
        <v>318</v>
      </c>
      <c r="G40" s="12" t="s">
        <v>233</v>
      </c>
      <c r="H40" s="15" t="n">
        <v>4</v>
      </c>
      <c r="I40" s="15"/>
      <c r="J40" s="12" t="s">
        <v>35</v>
      </c>
      <c r="K40" s="14" t="n">
        <v>46262</v>
      </c>
      <c r="L40" s="14" t="n">
        <v>46300</v>
      </c>
      <c r="M40" s="13"/>
      <c r="N40" s="12" t="s">
        <v>323</v>
      </c>
      <c r="O40" s="18" t="s">
        <v>204</v>
      </c>
    </row>
    <row r="41" customFormat="false" ht="16.5" hidden="false" customHeight="true" outlineLevel="0" collapsed="false">
      <c r="A41" s="12" t="str">
        <f aca="false">TEXT(ROW()-1,"C-000")</f>
        <v>C-040</v>
      </c>
      <c r="B41" s="11" t="s">
        <v>106</v>
      </c>
      <c r="C41" s="12" t="s">
        <v>321</v>
      </c>
      <c r="D41" s="11" t="s">
        <v>200</v>
      </c>
      <c r="E41" s="15" t="n">
        <v>273.08</v>
      </c>
      <c r="F41" s="12" t="s">
        <v>322</v>
      </c>
      <c r="G41" s="12" t="s">
        <v>233</v>
      </c>
      <c r="H41" s="15" t="n">
        <v>4</v>
      </c>
      <c r="I41" s="15"/>
      <c r="J41" s="12" t="s">
        <v>35</v>
      </c>
      <c r="K41" s="14" t="n">
        <v>46262</v>
      </c>
      <c r="L41" s="14" t="n">
        <v>46300</v>
      </c>
      <c r="M41" s="13"/>
      <c r="N41" s="12" t="s">
        <v>323</v>
      </c>
      <c r="O41" s="18" t="s">
        <v>205</v>
      </c>
    </row>
    <row r="42" customFormat="false" ht="16.5" hidden="false" customHeight="true" outlineLevel="0" collapsed="false">
      <c r="A42" s="12" t="str">
        <f aca="false">TEXT(ROW()-1,"C-000")</f>
        <v>C-041</v>
      </c>
      <c r="B42" s="11" t="s">
        <v>106</v>
      </c>
      <c r="C42" s="12" t="s">
        <v>324</v>
      </c>
      <c r="D42" s="11" t="s">
        <v>200</v>
      </c>
      <c r="E42" s="16" t="n">
        <v>2.894</v>
      </c>
      <c r="F42" s="12" t="s">
        <v>318</v>
      </c>
      <c r="G42" s="12" t="s">
        <v>233</v>
      </c>
      <c r="H42" s="15" t="n">
        <v>4</v>
      </c>
      <c r="I42" s="15"/>
      <c r="J42" s="12" t="s">
        <v>35</v>
      </c>
      <c r="K42" s="14" t="n">
        <v>46262</v>
      </c>
      <c r="L42" s="14" t="n">
        <v>46300</v>
      </c>
      <c r="M42" s="13"/>
      <c r="N42" s="12" t="s">
        <v>323</v>
      </c>
      <c r="O42" s="18" t="s">
        <v>205</v>
      </c>
    </row>
    <row r="43" customFormat="false" ht="16.5" hidden="false" customHeight="true" outlineLevel="0" collapsed="false">
      <c r="A43" s="12" t="str">
        <f aca="false">TEXT(ROW()-1,"C-000")</f>
        <v>C-042</v>
      </c>
      <c r="B43" s="11" t="s">
        <v>108</v>
      </c>
      <c r="C43" s="12" t="s">
        <v>321</v>
      </c>
      <c r="D43" s="11" t="s">
        <v>200</v>
      </c>
      <c r="E43" s="15" t="n">
        <v>5.2</v>
      </c>
      <c r="F43" s="12" t="s">
        <v>322</v>
      </c>
      <c r="G43" s="12" t="s">
        <v>233</v>
      </c>
      <c r="H43" s="15" t="n">
        <v>4</v>
      </c>
      <c r="I43" s="15"/>
      <c r="J43" s="12" t="s">
        <v>35</v>
      </c>
      <c r="K43" s="14" t="n">
        <v>46262</v>
      </c>
      <c r="L43" s="14" t="n">
        <v>46300</v>
      </c>
      <c r="M43" s="12" t="s">
        <v>206</v>
      </c>
      <c r="N43" s="12" t="s">
        <v>323</v>
      </c>
      <c r="O43" s="18" t="s">
        <v>207</v>
      </c>
    </row>
    <row r="44" customFormat="false" ht="16.5" hidden="false" customHeight="true" outlineLevel="0" collapsed="false">
      <c r="A44" s="12" t="str">
        <f aca="false">TEXT(ROW()-1,"C-000")</f>
        <v>C-043</v>
      </c>
      <c r="B44" s="11" t="s">
        <v>108</v>
      </c>
      <c r="C44" s="12" t="s">
        <v>324</v>
      </c>
      <c r="D44" s="11" t="s">
        <v>200</v>
      </c>
      <c r="E44" s="16" t="n">
        <v>1.809</v>
      </c>
      <c r="F44" s="12" t="s">
        <v>318</v>
      </c>
      <c r="G44" s="12" t="s">
        <v>233</v>
      </c>
      <c r="H44" s="15" t="n">
        <v>4</v>
      </c>
      <c r="I44" s="15"/>
      <c r="J44" s="12" t="s">
        <v>35</v>
      </c>
      <c r="K44" s="14" t="n">
        <v>46262</v>
      </c>
      <c r="L44" s="14" t="n">
        <v>46300</v>
      </c>
      <c r="M44" s="13"/>
      <c r="N44" s="12" t="s">
        <v>323</v>
      </c>
      <c r="O44" s="18" t="s">
        <v>207</v>
      </c>
    </row>
    <row r="45" customFormat="false" ht="16.5" hidden="false" customHeight="true" outlineLevel="0" collapsed="false">
      <c r="A45" s="12" t="str">
        <f aca="false">TEXT(ROW()-1,"C-000")</f>
        <v>C-044</v>
      </c>
      <c r="B45" s="11" t="s">
        <v>113</v>
      </c>
      <c r="C45" s="12" t="s">
        <v>321</v>
      </c>
      <c r="D45" s="11" t="s">
        <v>200</v>
      </c>
      <c r="E45" s="15" t="n">
        <v>59.15</v>
      </c>
      <c r="F45" s="12" t="s">
        <v>322</v>
      </c>
      <c r="G45" s="12" t="s">
        <v>233</v>
      </c>
      <c r="H45" s="15" t="n">
        <v>4</v>
      </c>
      <c r="I45" s="15"/>
      <c r="J45" s="12" t="s">
        <v>35</v>
      </c>
      <c r="K45" s="14" t="n">
        <v>46262</v>
      </c>
      <c r="L45" s="14" t="n">
        <v>46300</v>
      </c>
      <c r="M45" s="12" t="s">
        <v>208</v>
      </c>
      <c r="N45" s="12" t="s">
        <v>323</v>
      </c>
      <c r="O45" s="18" t="s">
        <v>209</v>
      </c>
    </row>
    <row r="46" customFormat="false" ht="16.5" hidden="false" customHeight="true" outlineLevel="0" collapsed="false">
      <c r="A46" s="12" t="str">
        <f aca="false">TEXT(ROW()-1,"C-000")</f>
        <v>C-045</v>
      </c>
      <c r="B46" s="11" t="s">
        <v>113</v>
      </c>
      <c r="C46" s="12" t="s">
        <v>324</v>
      </c>
      <c r="D46" s="11" t="s">
        <v>200</v>
      </c>
      <c r="E46" s="16" t="n">
        <v>1.325</v>
      </c>
      <c r="F46" s="12" t="s">
        <v>318</v>
      </c>
      <c r="G46" s="12" t="s">
        <v>233</v>
      </c>
      <c r="H46" s="15" t="n">
        <v>4</v>
      </c>
      <c r="I46" s="15"/>
      <c r="J46" s="12" t="s">
        <v>35</v>
      </c>
      <c r="K46" s="14" t="n">
        <v>46262</v>
      </c>
      <c r="L46" s="14" t="n">
        <v>46300</v>
      </c>
      <c r="M46" s="13"/>
      <c r="N46" s="12" t="s">
        <v>323</v>
      </c>
      <c r="O46" s="18" t="s">
        <v>209</v>
      </c>
    </row>
    <row r="47" customFormat="false" ht="16.5" hidden="false" customHeight="true" outlineLevel="0" collapsed="false">
      <c r="A47" s="12" t="str">
        <f aca="false">TEXT(ROW()-1,"C-000")</f>
        <v>C-046</v>
      </c>
      <c r="B47" s="11" t="s">
        <v>118</v>
      </c>
      <c r="C47" s="12" t="s">
        <v>321</v>
      </c>
      <c r="D47" s="11" t="s">
        <v>200</v>
      </c>
      <c r="E47" s="15" t="n">
        <v>194.81</v>
      </c>
      <c r="F47" s="12" t="s">
        <v>322</v>
      </c>
      <c r="G47" s="12" t="s">
        <v>233</v>
      </c>
      <c r="H47" s="15" t="n">
        <v>4</v>
      </c>
      <c r="I47" s="15"/>
      <c r="J47" s="12" t="s">
        <v>35</v>
      </c>
      <c r="K47" s="14" t="n">
        <v>46262</v>
      </c>
      <c r="L47" s="14" t="n">
        <v>46300</v>
      </c>
      <c r="M47" s="13"/>
      <c r="N47" s="12" t="s">
        <v>323</v>
      </c>
      <c r="O47" s="18" t="s">
        <v>210</v>
      </c>
    </row>
    <row r="48" customFormat="false" ht="16.5" hidden="false" customHeight="true" outlineLevel="0" collapsed="false">
      <c r="A48" s="12" t="str">
        <f aca="false">TEXT(ROW()-1,"C-000")</f>
        <v>C-047</v>
      </c>
      <c r="B48" s="11" t="s">
        <v>118</v>
      </c>
      <c r="C48" s="12" t="s">
        <v>324</v>
      </c>
      <c r="D48" s="11" t="s">
        <v>200</v>
      </c>
      <c r="E48" s="16" t="n">
        <v>0.543</v>
      </c>
      <c r="F48" s="12" t="s">
        <v>318</v>
      </c>
      <c r="G48" s="12" t="s">
        <v>233</v>
      </c>
      <c r="H48" s="15" t="n">
        <v>4</v>
      </c>
      <c r="I48" s="15"/>
      <c r="J48" s="12" t="s">
        <v>35</v>
      </c>
      <c r="K48" s="14" t="n">
        <v>46262</v>
      </c>
      <c r="L48" s="14" t="n">
        <v>46300</v>
      </c>
      <c r="M48" s="13"/>
      <c r="N48" s="12" t="s">
        <v>323</v>
      </c>
      <c r="O48" s="18" t="s">
        <v>210</v>
      </c>
    </row>
    <row r="49" customFormat="false" ht="16.5" hidden="false" customHeight="true" outlineLevel="0" collapsed="false">
      <c r="A49" s="12" t="str">
        <f aca="false">TEXT(ROW()-1,"C-000")</f>
        <v>C-048</v>
      </c>
      <c r="B49" s="11" t="s">
        <v>121</v>
      </c>
      <c r="C49" s="12" t="s">
        <v>321</v>
      </c>
      <c r="D49" s="11" t="s">
        <v>200</v>
      </c>
      <c r="E49" s="15" t="n">
        <v>31.41</v>
      </c>
      <c r="F49" s="12" t="s">
        <v>322</v>
      </c>
      <c r="G49" s="12" t="s">
        <v>233</v>
      </c>
      <c r="H49" s="15" t="n">
        <v>4</v>
      </c>
      <c r="I49" s="15"/>
      <c r="J49" s="12" t="s">
        <v>35</v>
      </c>
      <c r="K49" s="14" t="n">
        <v>46262</v>
      </c>
      <c r="L49" s="14" t="n">
        <v>46300</v>
      </c>
      <c r="M49" s="12" t="s">
        <v>211</v>
      </c>
      <c r="N49" s="12" t="s">
        <v>323</v>
      </c>
      <c r="O49" s="18" t="s">
        <v>212</v>
      </c>
    </row>
    <row r="50" customFormat="false" ht="16.5" hidden="false" customHeight="true" outlineLevel="0" collapsed="false">
      <c r="A50" s="12" t="str">
        <f aca="false">TEXT(ROW()-1,"C-000")</f>
        <v>C-049</v>
      </c>
      <c r="B50" s="11" t="s">
        <v>121</v>
      </c>
      <c r="C50" s="12" t="s">
        <v>324</v>
      </c>
      <c r="D50" s="11" t="s">
        <v>200</v>
      </c>
      <c r="E50" s="16" t="n">
        <v>0.672</v>
      </c>
      <c r="F50" s="12" t="s">
        <v>318</v>
      </c>
      <c r="G50" s="12" t="s">
        <v>233</v>
      </c>
      <c r="H50" s="15" t="n">
        <v>4</v>
      </c>
      <c r="I50" s="15"/>
      <c r="J50" s="12" t="s">
        <v>35</v>
      </c>
      <c r="K50" s="14" t="n">
        <v>46262</v>
      </c>
      <c r="L50" s="14" t="n">
        <v>46300</v>
      </c>
      <c r="M50" s="13"/>
      <c r="N50" s="12" t="s">
        <v>323</v>
      </c>
      <c r="O50" s="18" t="s">
        <v>212</v>
      </c>
    </row>
    <row r="51" customFormat="false" ht="16.5" hidden="false" customHeight="true" outlineLevel="0" collapsed="false">
      <c r="A51" s="12" t="str">
        <f aca="false">TEXT(ROW()-1,"C-000")</f>
        <v>C-050</v>
      </c>
      <c r="B51" s="11" t="s">
        <v>124</v>
      </c>
      <c r="C51" s="12" t="s">
        <v>321</v>
      </c>
      <c r="D51" s="11" t="s">
        <v>200</v>
      </c>
      <c r="E51" s="15" t="n">
        <v>2.04</v>
      </c>
      <c r="F51" s="12" t="s">
        <v>322</v>
      </c>
      <c r="G51" s="12" t="s">
        <v>233</v>
      </c>
      <c r="H51" s="15" t="n">
        <v>4</v>
      </c>
      <c r="I51" s="15"/>
      <c r="J51" s="12" t="s">
        <v>35</v>
      </c>
      <c r="K51" s="14" t="n">
        <v>46262</v>
      </c>
      <c r="L51" s="14" t="n">
        <v>46300</v>
      </c>
      <c r="M51" s="11" t="s">
        <v>213</v>
      </c>
      <c r="N51" s="12" t="s">
        <v>323</v>
      </c>
      <c r="O51" s="18" t="s">
        <v>214</v>
      </c>
    </row>
    <row r="52" customFormat="false" ht="16.5" hidden="false" customHeight="true" outlineLevel="0" collapsed="false">
      <c r="A52" s="12" t="str">
        <f aca="false">TEXT(ROW()-1,"C-000")</f>
        <v>C-051</v>
      </c>
      <c r="B52" s="11" t="s">
        <v>124</v>
      </c>
      <c r="C52" s="12" t="s">
        <v>324</v>
      </c>
      <c r="D52" s="11" t="s">
        <v>200</v>
      </c>
      <c r="E52" s="16" t="n">
        <v>0.132</v>
      </c>
      <c r="F52" s="12" t="s">
        <v>318</v>
      </c>
      <c r="G52" s="12" t="s">
        <v>233</v>
      </c>
      <c r="H52" s="15" t="n">
        <v>4</v>
      </c>
      <c r="I52" s="15"/>
      <c r="J52" s="12" t="s">
        <v>35</v>
      </c>
      <c r="K52" s="14" t="n">
        <v>46262</v>
      </c>
      <c r="L52" s="14" t="n">
        <v>46300</v>
      </c>
      <c r="M52" s="13"/>
      <c r="N52" s="12" t="s">
        <v>323</v>
      </c>
      <c r="O52" s="18" t="s">
        <v>214</v>
      </c>
    </row>
    <row r="53" customFormat="false" ht="16.5" hidden="false" customHeight="true" outlineLevel="0" collapsed="false">
      <c r="A53" s="12" t="str">
        <f aca="false">TEXT(ROW()-1,"C-000")</f>
        <v>C-052</v>
      </c>
      <c r="B53" s="11" t="s">
        <v>55</v>
      </c>
      <c r="C53" s="12" t="s">
        <v>325</v>
      </c>
      <c r="D53" s="11" t="s">
        <v>157</v>
      </c>
      <c r="E53" s="16" t="n">
        <v>0.55</v>
      </c>
      <c r="F53" s="12" t="s">
        <v>318</v>
      </c>
      <c r="G53" s="12" t="s">
        <v>233</v>
      </c>
      <c r="H53" s="15" t="n">
        <v>1</v>
      </c>
      <c r="I53" s="15"/>
      <c r="J53" s="12" t="s">
        <v>34</v>
      </c>
      <c r="K53" s="14" t="n">
        <v>46236</v>
      </c>
      <c r="L53" s="14" t="n">
        <v>46300</v>
      </c>
      <c r="M53" s="12" t="s">
        <v>326</v>
      </c>
      <c r="N53" s="12" t="s">
        <v>327</v>
      </c>
      <c r="O53" s="18" t="s">
        <v>160</v>
      </c>
    </row>
    <row r="54" customFormat="false" ht="16.5" hidden="false" customHeight="true" outlineLevel="0" collapsed="false">
      <c r="A54" s="12" t="str">
        <f aca="false">TEXT(ROW()-1,"C-000")</f>
        <v>C-053</v>
      </c>
      <c r="B54" s="11" t="s">
        <v>55</v>
      </c>
      <c r="C54" s="12" t="s">
        <v>328</v>
      </c>
      <c r="D54" s="11" t="s">
        <v>157</v>
      </c>
      <c r="E54" s="16" t="n">
        <v>0.5</v>
      </c>
      <c r="F54" s="12" t="s">
        <v>318</v>
      </c>
      <c r="G54" s="12" t="s">
        <v>233</v>
      </c>
      <c r="H54" s="15" t="n">
        <v>1</v>
      </c>
      <c r="I54" s="15"/>
      <c r="J54" s="12" t="s">
        <v>34</v>
      </c>
      <c r="K54" s="14" t="n">
        <v>46236</v>
      </c>
      <c r="L54" s="14" t="n">
        <v>46300</v>
      </c>
      <c r="M54" s="12" t="s">
        <v>329</v>
      </c>
      <c r="N54" s="12" t="s">
        <v>327</v>
      </c>
      <c r="O54" s="18" t="s">
        <v>160</v>
      </c>
    </row>
    <row r="55" customFormat="false" ht="32.25" hidden="false" customHeight="true" outlineLevel="0" collapsed="false">
      <c r="A55" s="12" t="str">
        <f aca="false">TEXT(ROW()-1,"C-000")</f>
        <v>C-054</v>
      </c>
      <c r="B55" s="11" t="s">
        <v>78</v>
      </c>
      <c r="C55" s="12" t="s">
        <v>330</v>
      </c>
      <c r="D55" s="11" t="s">
        <v>331</v>
      </c>
      <c r="E55" s="15" t="n">
        <v>97</v>
      </c>
      <c r="F55" s="12" t="s">
        <v>153</v>
      </c>
      <c r="G55" s="12" t="s">
        <v>233</v>
      </c>
      <c r="H55" s="15" t="n">
        <v>1</v>
      </c>
      <c r="I55" s="15"/>
      <c r="J55" s="12" t="s">
        <v>34</v>
      </c>
      <c r="K55" s="14" t="n">
        <v>46203</v>
      </c>
      <c r="L55" s="14" t="n">
        <v>46300</v>
      </c>
      <c r="M55" s="12" t="s">
        <v>332</v>
      </c>
      <c r="N55" s="12" t="s">
        <v>327</v>
      </c>
      <c r="O55" s="18" t="s">
        <v>173</v>
      </c>
    </row>
    <row r="56" customFormat="false" ht="16.5" hidden="false" customHeight="true" outlineLevel="0" collapsed="false">
      <c r="A56" s="12" t="str">
        <f aca="false">TEXT(ROW()-1,"C-000")</f>
        <v>C-055</v>
      </c>
      <c r="B56" s="11" t="s">
        <v>78</v>
      </c>
      <c r="C56" s="12" t="s">
        <v>333</v>
      </c>
      <c r="D56" s="11" t="s">
        <v>331</v>
      </c>
      <c r="E56" s="15" t="n">
        <v>84</v>
      </c>
      <c r="F56" s="12" t="s">
        <v>153</v>
      </c>
      <c r="G56" s="12" t="s">
        <v>233</v>
      </c>
      <c r="H56" s="15" t="n">
        <v>1</v>
      </c>
      <c r="I56" s="15"/>
      <c r="J56" s="12" t="s">
        <v>34</v>
      </c>
      <c r="K56" s="14" t="n">
        <v>46203</v>
      </c>
      <c r="L56" s="14" t="n">
        <v>46300</v>
      </c>
      <c r="M56" s="12" t="s">
        <v>334</v>
      </c>
      <c r="N56" s="12" t="s">
        <v>327</v>
      </c>
      <c r="O56" s="18" t="s">
        <v>173</v>
      </c>
    </row>
    <row r="57" customFormat="false" ht="32.25" hidden="false" customHeight="true" outlineLevel="0" collapsed="false">
      <c r="A57" s="12" t="str">
        <f aca="false">TEXT(ROW()-1,"C-000")</f>
        <v>C-056</v>
      </c>
      <c r="B57" s="11" t="s">
        <v>78</v>
      </c>
      <c r="C57" s="12" t="s">
        <v>335</v>
      </c>
      <c r="D57" s="11" t="s">
        <v>170</v>
      </c>
      <c r="E57" s="12" t="s">
        <v>336</v>
      </c>
      <c r="F57" s="12" t="s">
        <v>319</v>
      </c>
      <c r="G57" s="12" t="s">
        <v>233</v>
      </c>
      <c r="H57" s="15" t="n">
        <v>1</v>
      </c>
      <c r="I57" s="15"/>
      <c r="J57" s="12" t="s">
        <v>36</v>
      </c>
      <c r="K57" s="14" t="n">
        <v>46203</v>
      </c>
      <c r="L57" s="14" t="n">
        <v>46300</v>
      </c>
      <c r="M57" s="13"/>
      <c r="N57" s="12" t="s">
        <v>337</v>
      </c>
      <c r="O57" s="18" t="s">
        <v>173</v>
      </c>
    </row>
    <row r="58" customFormat="false" ht="16.5" hidden="false" customHeight="true" outlineLevel="0" collapsed="false">
      <c r="A58" s="12" t="str">
        <f aca="false">TEXT(ROW()-1,"C-000")</f>
        <v>C-057</v>
      </c>
      <c r="B58" s="12" t="s">
        <v>230</v>
      </c>
      <c r="C58" s="12" t="s">
        <v>231</v>
      </c>
      <c r="D58" s="11" t="s">
        <v>338</v>
      </c>
      <c r="E58" s="11" t="s">
        <v>232</v>
      </c>
      <c r="F58" s="12" t="s">
        <v>319</v>
      </c>
      <c r="G58" s="12" t="s">
        <v>233</v>
      </c>
      <c r="H58" s="15" t="n">
        <v>4</v>
      </c>
      <c r="I58" s="15"/>
      <c r="J58" s="12" t="s">
        <v>35</v>
      </c>
      <c r="K58" s="14" t="n">
        <v>46281</v>
      </c>
      <c r="L58" s="14" t="n">
        <v>46300</v>
      </c>
      <c r="M58" s="11" t="s">
        <v>234</v>
      </c>
      <c r="N58" s="12" t="s">
        <v>339</v>
      </c>
      <c r="O58" s="18" t="s">
        <v>235</v>
      </c>
    </row>
    <row r="59" customFormat="false" ht="32.25" hidden="false" customHeight="true" outlineLevel="0" collapsed="false">
      <c r="A59" s="12" t="str">
        <f aca="false">TEXT(ROW()-1,"C-000")</f>
        <v>C-058</v>
      </c>
      <c r="B59" s="12" t="s">
        <v>230</v>
      </c>
      <c r="C59" s="12" t="s">
        <v>236</v>
      </c>
      <c r="D59" s="11" t="s">
        <v>338</v>
      </c>
      <c r="E59" s="11" t="s">
        <v>237</v>
      </c>
      <c r="F59" s="12" t="s">
        <v>319</v>
      </c>
      <c r="G59" s="12" t="s">
        <v>238</v>
      </c>
      <c r="H59" s="15" t="n">
        <v>1</v>
      </c>
      <c r="I59" s="15"/>
      <c r="J59" s="12" t="s">
        <v>34</v>
      </c>
      <c r="K59" s="14" t="n">
        <v>46281</v>
      </c>
      <c r="L59" s="14" t="n">
        <v>46300</v>
      </c>
      <c r="M59" s="12" t="s">
        <v>239</v>
      </c>
      <c r="N59" s="12" t="s">
        <v>339</v>
      </c>
      <c r="O59" s="18" t="s">
        <v>240</v>
      </c>
    </row>
    <row r="60" customFormat="false" ht="16.5" hidden="false" customHeight="true" outlineLevel="0" collapsed="false">
      <c r="A60" s="12" t="str">
        <f aca="false">TEXT(ROW()-1,"C-000")</f>
        <v>C-059</v>
      </c>
      <c r="B60" s="12" t="s">
        <v>230</v>
      </c>
      <c r="C60" s="11" t="s">
        <v>241</v>
      </c>
      <c r="D60" s="11" t="s">
        <v>340</v>
      </c>
      <c r="E60" s="11" t="s">
        <v>242</v>
      </c>
      <c r="F60" s="12" t="s">
        <v>319</v>
      </c>
      <c r="G60" s="12" t="s">
        <v>233</v>
      </c>
      <c r="H60" s="15" t="n">
        <v>1</v>
      </c>
      <c r="I60" s="15"/>
      <c r="J60" s="12" t="s">
        <v>34</v>
      </c>
      <c r="K60" s="14" t="n">
        <v>46297</v>
      </c>
      <c r="L60" s="14" t="n">
        <v>46300</v>
      </c>
      <c r="M60" s="13"/>
      <c r="N60" s="12" t="s">
        <v>339</v>
      </c>
      <c r="O60" s="18" t="s">
        <v>243</v>
      </c>
    </row>
    <row r="61" customFormat="false" ht="32.25" hidden="false" customHeight="true" outlineLevel="0" collapsed="false">
      <c r="A61" s="12" t="str">
        <f aca="false">TEXT(ROW()-1,"C-000")</f>
        <v>C-060</v>
      </c>
      <c r="B61" s="12" t="s">
        <v>51</v>
      </c>
      <c r="C61" s="11" t="s">
        <v>244</v>
      </c>
      <c r="D61" s="11" t="s">
        <v>341</v>
      </c>
      <c r="E61" s="11" t="s">
        <v>245</v>
      </c>
      <c r="F61" s="12" t="s">
        <v>319</v>
      </c>
      <c r="G61" s="12" t="s">
        <v>238</v>
      </c>
      <c r="H61" s="15" t="n">
        <v>3</v>
      </c>
      <c r="I61" s="15"/>
      <c r="J61" s="12" t="s">
        <v>35</v>
      </c>
      <c r="K61" s="14" t="n">
        <v>46259</v>
      </c>
      <c r="L61" s="14" t="n">
        <v>46300</v>
      </c>
      <c r="M61" s="11" t="s">
        <v>246</v>
      </c>
      <c r="N61" s="12" t="s">
        <v>339</v>
      </c>
      <c r="O61" s="18" t="s">
        <v>247</v>
      </c>
    </row>
    <row r="62" customFormat="false" ht="16.5" hidden="false" customHeight="true" outlineLevel="0" collapsed="false">
      <c r="A62" s="12" t="str">
        <f aca="false">TEXT(ROW()-1,"C-000")</f>
        <v>C-061</v>
      </c>
      <c r="B62" s="12" t="s">
        <v>51</v>
      </c>
      <c r="C62" s="11" t="s">
        <v>248</v>
      </c>
      <c r="D62" s="11" t="s">
        <v>342</v>
      </c>
      <c r="E62" s="11" t="s">
        <v>249</v>
      </c>
      <c r="F62" s="12" t="s">
        <v>319</v>
      </c>
      <c r="G62" s="12" t="s">
        <v>238</v>
      </c>
      <c r="H62" s="15" t="n">
        <v>3</v>
      </c>
      <c r="I62" s="15"/>
      <c r="J62" s="12" t="s">
        <v>34</v>
      </c>
      <c r="K62" s="14" t="n">
        <v>46294</v>
      </c>
      <c r="L62" s="14" t="n">
        <v>46300</v>
      </c>
      <c r="M62" s="13"/>
      <c r="N62" s="12" t="s">
        <v>339</v>
      </c>
      <c r="O62" s="18" t="s">
        <v>250</v>
      </c>
    </row>
    <row r="63" customFormat="false" ht="32.25" hidden="false" customHeight="true" outlineLevel="0" collapsed="false">
      <c r="A63" s="12" t="str">
        <f aca="false">TEXT(ROW()-1,"C-000")</f>
        <v>C-062</v>
      </c>
      <c r="B63" s="12" t="s">
        <v>51</v>
      </c>
      <c r="C63" s="12" t="s">
        <v>251</v>
      </c>
      <c r="D63" s="11" t="s">
        <v>343</v>
      </c>
      <c r="E63" s="12" t="s">
        <v>252</v>
      </c>
      <c r="F63" s="12" t="s">
        <v>319</v>
      </c>
      <c r="G63" s="12" t="s">
        <v>238</v>
      </c>
      <c r="H63" s="15" t="n">
        <v>3</v>
      </c>
      <c r="I63" s="15"/>
      <c r="J63" s="12" t="s">
        <v>35</v>
      </c>
      <c r="K63" s="14" t="n">
        <v>46238</v>
      </c>
      <c r="L63" s="14" t="n">
        <v>46300</v>
      </c>
      <c r="M63" s="12" t="s">
        <v>253</v>
      </c>
      <c r="N63" s="12" t="s">
        <v>339</v>
      </c>
      <c r="O63" s="18" t="s">
        <v>254</v>
      </c>
    </row>
    <row r="64" customFormat="false" ht="29.25" hidden="false" customHeight="true" outlineLevel="0" collapsed="false">
      <c r="A64" s="12" t="str">
        <f aca="false">TEXT(ROW()-1,"C-000")</f>
        <v>C-063</v>
      </c>
      <c r="B64" s="12" t="s">
        <v>255</v>
      </c>
      <c r="C64" s="12" t="s">
        <v>256</v>
      </c>
      <c r="D64" s="11" t="s">
        <v>344</v>
      </c>
      <c r="E64" s="11" t="s">
        <v>257</v>
      </c>
      <c r="F64" s="12" t="s">
        <v>319</v>
      </c>
      <c r="G64" s="12" t="s">
        <v>238</v>
      </c>
      <c r="H64" s="15" t="n">
        <v>3</v>
      </c>
      <c r="I64" s="15"/>
      <c r="J64" s="12" t="s">
        <v>35</v>
      </c>
      <c r="K64" s="14" t="n">
        <v>46266</v>
      </c>
      <c r="L64" s="14" t="n">
        <v>46300</v>
      </c>
      <c r="M64" s="13"/>
      <c r="N64" s="12" t="s">
        <v>339</v>
      </c>
      <c r="O64" s="18" t="s">
        <v>258</v>
      </c>
    </row>
    <row r="65" customFormat="false" ht="29.25" hidden="false" customHeight="true" outlineLevel="0" collapsed="false">
      <c r="A65" s="12" t="str">
        <f aca="false">TEXT(ROW()-1,"C-000")</f>
        <v>C-064</v>
      </c>
      <c r="B65" s="12" t="s">
        <v>259</v>
      </c>
      <c r="C65" s="12" t="s">
        <v>260</v>
      </c>
      <c r="D65" s="11" t="s">
        <v>345</v>
      </c>
      <c r="E65" s="11" t="s">
        <v>261</v>
      </c>
      <c r="F65" s="12" t="s">
        <v>319</v>
      </c>
      <c r="G65" s="12" t="s">
        <v>238</v>
      </c>
      <c r="H65" s="15" t="n">
        <v>3</v>
      </c>
      <c r="I65" s="15"/>
      <c r="J65" s="12" t="s">
        <v>35</v>
      </c>
      <c r="K65" s="14" t="n">
        <v>46261</v>
      </c>
      <c r="L65" s="14" t="n">
        <v>46300</v>
      </c>
      <c r="M65" s="12" t="s">
        <v>262</v>
      </c>
      <c r="N65" s="12" t="s">
        <v>339</v>
      </c>
      <c r="O65" s="18" t="s">
        <v>263</v>
      </c>
    </row>
    <row r="66" customFormat="false" ht="16.5" hidden="false" customHeight="true" outlineLevel="0" collapsed="false">
      <c r="A66" s="12" t="str">
        <f aca="false">TEXT(ROW()-1,"C-000")</f>
        <v>C-065</v>
      </c>
      <c r="B66" s="12" t="s">
        <v>264</v>
      </c>
      <c r="C66" s="12" t="s">
        <v>265</v>
      </c>
      <c r="D66" s="11" t="s">
        <v>346</v>
      </c>
      <c r="E66" s="12" t="s">
        <v>266</v>
      </c>
      <c r="F66" s="12" t="s">
        <v>319</v>
      </c>
      <c r="G66" s="12" t="s">
        <v>238</v>
      </c>
      <c r="H66" s="15" t="n">
        <v>3</v>
      </c>
      <c r="I66" s="15"/>
      <c r="J66" s="12" t="s">
        <v>35</v>
      </c>
      <c r="K66" s="14" t="n">
        <v>46136</v>
      </c>
      <c r="L66" s="14" t="n">
        <v>46300</v>
      </c>
      <c r="M66" s="13"/>
      <c r="N66" s="12" t="s">
        <v>339</v>
      </c>
      <c r="O66" s="18" t="s">
        <v>267</v>
      </c>
    </row>
    <row r="67" customFormat="false" ht="16.5" hidden="false" customHeight="true" outlineLevel="0" collapsed="false">
      <c r="A67" s="12" t="str">
        <f aca="false">TEXT(ROW()-1,"C-000")</f>
        <v>C-066</v>
      </c>
      <c r="B67" s="12" t="s">
        <v>268</v>
      </c>
      <c r="C67" s="11" t="s">
        <v>269</v>
      </c>
      <c r="D67" s="11" t="s">
        <v>347</v>
      </c>
      <c r="E67" s="11" t="s">
        <v>270</v>
      </c>
      <c r="F67" s="12" t="s">
        <v>319</v>
      </c>
      <c r="G67" s="12" t="s">
        <v>238</v>
      </c>
      <c r="H67" s="15" t="n">
        <v>3</v>
      </c>
      <c r="I67" s="15"/>
      <c r="J67" s="12" t="s">
        <v>35</v>
      </c>
      <c r="K67" s="14" t="n">
        <v>46295</v>
      </c>
      <c r="L67" s="14" t="n">
        <v>46300</v>
      </c>
      <c r="M67" s="11" t="s">
        <v>271</v>
      </c>
      <c r="N67" s="12" t="s">
        <v>339</v>
      </c>
      <c r="O67" s="18" t="s">
        <v>272</v>
      </c>
    </row>
    <row r="68" customFormat="false" ht="32.25" hidden="false" customHeight="true" outlineLevel="0" collapsed="false">
      <c r="A68" s="12" t="str">
        <f aca="false">TEXT(ROW()-1,"C-000")</f>
        <v>C-067</v>
      </c>
      <c r="B68" s="12" t="s">
        <v>348</v>
      </c>
      <c r="C68" s="11" t="s">
        <v>349</v>
      </c>
      <c r="D68" s="11" t="s">
        <v>350</v>
      </c>
      <c r="E68" s="11" t="s">
        <v>351</v>
      </c>
      <c r="F68" s="12" t="s">
        <v>319</v>
      </c>
      <c r="G68" s="12" t="s">
        <v>233</v>
      </c>
      <c r="H68" s="15" t="n">
        <v>1</v>
      </c>
      <c r="I68" s="15"/>
      <c r="J68" s="12" t="s">
        <v>34</v>
      </c>
      <c r="K68" s="14" t="n">
        <v>46274</v>
      </c>
      <c r="L68" s="14" t="n">
        <v>46300</v>
      </c>
      <c r="M68" s="13"/>
      <c r="N68" s="12" t="s">
        <v>352</v>
      </c>
      <c r="O68" s="18" t="s">
        <v>301</v>
      </c>
    </row>
    <row r="69" customFormat="false" ht="16.5" hidden="false" customHeight="true" outlineLevel="0" collapsed="false">
      <c r="A69" s="12" t="str">
        <f aca="false">TEXT(ROW()-1,"C-000")</f>
        <v>C-068</v>
      </c>
      <c r="B69" s="12" t="s">
        <v>348</v>
      </c>
      <c r="C69" s="12" t="s">
        <v>353</v>
      </c>
      <c r="D69" s="11" t="s">
        <v>350</v>
      </c>
      <c r="E69" s="11" t="s">
        <v>354</v>
      </c>
      <c r="F69" s="12" t="s">
        <v>319</v>
      </c>
      <c r="G69" s="12" t="s">
        <v>294</v>
      </c>
      <c r="H69" s="15" t="n">
        <v>2</v>
      </c>
      <c r="I69" s="15"/>
      <c r="J69" s="12" t="s">
        <v>35</v>
      </c>
      <c r="K69" s="14" t="n">
        <v>46295</v>
      </c>
      <c r="L69" s="14" t="n">
        <v>46300</v>
      </c>
      <c r="M69" s="12" t="s">
        <v>355</v>
      </c>
      <c r="N69" s="11" t="s">
        <v>356</v>
      </c>
      <c r="O69" s="18" t="s">
        <v>296</v>
      </c>
    </row>
    <row r="70" customFormat="false" ht="63.75" hidden="false" customHeight="true" outlineLevel="0" collapsed="false">
      <c r="A70" s="12" t="str">
        <f aca="false">TEXT(ROW()-1,"C-000")</f>
        <v>C-069</v>
      </c>
      <c r="B70" s="11" t="s">
        <v>357</v>
      </c>
      <c r="C70" s="11" t="s">
        <v>358</v>
      </c>
      <c r="D70" s="11" t="s">
        <v>342</v>
      </c>
      <c r="E70" s="11" t="s">
        <v>359</v>
      </c>
      <c r="F70" s="12" t="s">
        <v>319</v>
      </c>
      <c r="G70" s="12" t="s">
        <v>233</v>
      </c>
      <c r="H70" s="15" t="n">
        <v>1</v>
      </c>
      <c r="I70" s="15"/>
      <c r="J70" s="12" t="s">
        <v>34</v>
      </c>
      <c r="K70" s="14" t="n">
        <v>46294</v>
      </c>
      <c r="L70" s="14" t="n">
        <v>46300</v>
      </c>
      <c r="M70" s="13"/>
      <c r="N70" s="12" t="s">
        <v>360</v>
      </c>
      <c r="O70" s="18" t="s">
        <v>361</v>
      </c>
    </row>
    <row r="71" customFormat="false" ht="16.5" hidden="false" customHeight="true" outlineLevel="0" collapsed="false">
      <c r="A71" s="12" t="str">
        <f aca="false">TEXT(ROW()-1,"C-000")</f>
        <v>C-070</v>
      </c>
      <c r="B71" s="11" t="s">
        <v>67</v>
      </c>
      <c r="C71" s="12" t="s">
        <v>362</v>
      </c>
      <c r="D71" s="11" t="s">
        <v>363</v>
      </c>
      <c r="E71" s="12" t="s">
        <v>364</v>
      </c>
      <c r="F71" s="12" t="s">
        <v>319</v>
      </c>
      <c r="G71" s="12" t="s">
        <v>233</v>
      </c>
      <c r="H71" s="15" t="n">
        <v>1</v>
      </c>
      <c r="I71" s="15"/>
      <c r="J71" s="12" t="s">
        <v>34</v>
      </c>
      <c r="K71" s="14" t="n">
        <v>46298</v>
      </c>
      <c r="L71" s="14" t="n">
        <v>46300</v>
      </c>
      <c r="M71" s="13"/>
      <c r="N71" s="12" t="s">
        <v>365</v>
      </c>
      <c r="O71" s="18" t="s">
        <v>288</v>
      </c>
    </row>
    <row r="72" customFormat="false" ht="16.5" hidden="false" customHeight="true" outlineLevel="0" collapsed="false">
      <c r="A72" s="12" t="str">
        <f aca="false">TEXT(ROW()-1,"C-000")</f>
        <v>C-071</v>
      </c>
      <c r="B72" s="12" t="s">
        <v>199</v>
      </c>
      <c r="C72" s="12" t="s">
        <v>366</v>
      </c>
      <c r="D72" s="11" t="s">
        <v>347</v>
      </c>
      <c r="E72" s="12" t="s">
        <v>367</v>
      </c>
      <c r="F72" s="12" t="s">
        <v>319</v>
      </c>
      <c r="G72" s="12" t="s">
        <v>294</v>
      </c>
      <c r="H72" s="15" t="n">
        <v>2</v>
      </c>
      <c r="I72" s="15"/>
      <c r="J72" s="12" t="s">
        <v>35</v>
      </c>
      <c r="K72" s="14" t="n">
        <v>46295</v>
      </c>
      <c r="L72" s="14" t="n">
        <v>46300</v>
      </c>
      <c r="M72" s="12" t="s">
        <v>368</v>
      </c>
      <c r="N72" s="12" t="s">
        <v>369</v>
      </c>
      <c r="O72" s="18" t="s">
        <v>370</v>
      </c>
    </row>
    <row r="73" customFormat="false" ht="32.25" hidden="false" customHeight="true" outlineLevel="0" collapsed="false">
      <c r="A73" s="12" t="str">
        <f aca="false">TEXT(ROW()-1,"C-000")</f>
        <v>C-072</v>
      </c>
      <c r="B73" s="12" t="s">
        <v>199</v>
      </c>
      <c r="C73" s="11" t="s">
        <v>371</v>
      </c>
      <c r="D73" s="11" t="s">
        <v>372</v>
      </c>
      <c r="E73" s="11" t="s">
        <v>373</v>
      </c>
      <c r="F73" s="12" t="s">
        <v>319</v>
      </c>
      <c r="G73" s="12" t="s">
        <v>233</v>
      </c>
      <c r="H73" s="15" t="n">
        <v>1</v>
      </c>
      <c r="I73" s="15"/>
      <c r="J73" s="12" t="s">
        <v>34</v>
      </c>
      <c r="K73" s="14" t="n">
        <v>46300</v>
      </c>
      <c r="L73" s="14" t="n">
        <v>46300</v>
      </c>
      <c r="M73" s="13"/>
      <c r="N73" s="12" t="s">
        <v>352</v>
      </c>
      <c r="O73" s="18" t="s">
        <v>217</v>
      </c>
    </row>
    <row r="74" customFormat="false" ht="32.25" hidden="false" customHeight="true" outlineLevel="0" collapsed="false">
      <c r="A74" s="12" t="str">
        <f aca="false">TEXT(ROW()-1,"C-000")</f>
        <v>C-073</v>
      </c>
      <c r="B74" s="11" t="s">
        <v>374</v>
      </c>
      <c r="C74" s="12" t="s">
        <v>375</v>
      </c>
      <c r="D74" s="11" t="s">
        <v>311</v>
      </c>
      <c r="E74" s="12" t="s">
        <v>376</v>
      </c>
      <c r="F74" s="12" t="s">
        <v>319</v>
      </c>
      <c r="G74" s="12" t="s">
        <v>233</v>
      </c>
      <c r="H74" s="15" t="n">
        <v>4</v>
      </c>
      <c r="I74" s="15"/>
      <c r="J74" s="12" t="s">
        <v>35</v>
      </c>
      <c r="K74" s="14" t="n">
        <v>46300</v>
      </c>
      <c r="L74" s="14" t="n">
        <v>46300</v>
      </c>
      <c r="M74" s="12" t="s">
        <v>377</v>
      </c>
      <c r="N74" s="12" t="s">
        <v>352</v>
      </c>
      <c r="O74" s="18" t="s">
        <v>378</v>
      </c>
    </row>
    <row r="75" customFormat="false" ht="32.25" hidden="false" customHeight="true" outlineLevel="0" collapsed="false">
      <c r="A75" s="12" t="str">
        <f aca="false">TEXT(ROW()-1,"C-000")</f>
        <v>C-074</v>
      </c>
      <c r="B75" s="12" t="s">
        <v>348</v>
      </c>
      <c r="C75" s="11" t="s">
        <v>379</v>
      </c>
      <c r="D75" s="11" t="s">
        <v>311</v>
      </c>
      <c r="E75" s="11" t="s">
        <v>380</v>
      </c>
      <c r="F75" s="12" t="s">
        <v>319</v>
      </c>
      <c r="G75" s="12" t="s">
        <v>381</v>
      </c>
      <c r="H75" s="15" t="n">
        <v>5</v>
      </c>
      <c r="I75" s="15"/>
      <c r="J75" s="12" t="s">
        <v>37</v>
      </c>
      <c r="K75" s="13"/>
      <c r="L75" s="14" t="n">
        <v>46300</v>
      </c>
      <c r="M75" s="13"/>
      <c r="N75" s="12" t="s">
        <v>382</v>
      </c>
      <c r="O75" s="13"/>
    </row>
    <row r="76" customFormat="false" ht="16.5" hidden="false" customHeight="true" outlineLevel="0" collapsed="false">
      <c r="A76" s="12" t="str">
        <f aca="false">TEXT(ROW()-1,"C-000")</f>
        <v>C-075</v>
      </c>
      <c r="B76" s="12" t="s">
        <v>51</v>
      </c>
      <c r="C76" s="12" t="s">
        <v>383</v>
      </c>
      <c r="D76" s="11" t="s">
        <v>311</v>
      </c>
      <c r="E76" s="11" t="s">
        <v>380</v>
      </c>
      <c r="F76" s="12" t="s">
        <v>319</v>
      </c>
      <c r="G76" s="12" t="s">
        <v>381</v>
      </c>
      <c r="H76" s="15" t="n">
        <v>5</v>
      </c>
      <c r="I76" s="15"/>
      <c r="J76" s="12" t="s">
        <v>37</v>
      </c>
      <c r="K76" s="13"/>
      <c r="L76" s="14" t="n">
        <v>46300</v>
      </c>
      <c r="M76" s="13"/>
      <c r="N76" s="12" t="s">
        <v>382</v>
      </c>
      <c r="O76" s="13"/>
    </row>
    <row r="77" customFormat="false" ht="16.5" hidden="false" customHeight="true" outlineLevel="0" collapsed="false">
      <c r="A77" s="12" t="str">
        <f aca="false">TEXT(ROW()-1,"C-000")</f>
        <v>C-076</v>
      </c>
      <c r="B77" s="11" t="s">
        <v>384</v>
      </c>
      <c r="C77" s="11" t="s">
        <v>385</v>
      </c>
      <c r="D77" s="11" t="s">
        <v>311</v>
      </c>
      <c r="E77" s="11" t="s">
        <v>380</v>
      </c>
      <c r="F77" s="12" t="s">
        <v>319</v>
      </c>
      <c r="G77" s="12" t="s">
        <v>381</v>
      </c>
      <c r="H77" s="15" t="n">
        <v>5</v>
      </c>
      <c r="I77" s="15"/>
      <c r="J77" s="12" t="s">
        <v>37</v>
      </c>
      <c r="K77" s="13"/>
      <c r="L77" s="14" t="n">
        <v>46300</v>
      </c>
      <c r="M77" s="13"/>
      <c r="N77" s="12" t="s">
        <v>382</v>
      </c>
      <c r="O77" s="13"/>
    </row>
    <row r="78" customFormat="false" ht="29.25" hidden="false" customHeight="true" outlineLevel="0" collapsed="false">
      <c r="A78" s="12" t="str">
        <f aca="false">TEXT(ROW()-1,"C-000")</f>
        <v>C-077</v>
      </c>
      <c r="B78" s="12" t="s">
        <v>230</v>
      </c>
      <c r="C78" s="11" t="s">
        <v>386</v>
      </c>
      <c r="D78" s="11" t="s">
        <v>311</v>
      </c>
      <c r="E78" s="12" t="s">
        <v>387</v>
      </c>
      <c r="F78" s="12" t="s">
        <v>319</v>
      </c>
      <c r="G78" s="12" t="s">
        <v>381</v>
      </c>
      <c r="H78" s="15" t="n">
        <v>4</v>
      </c>
      <c r="I78" s="15"/>
      <c r="J78" s="12" t="s">
        <v>37</v>
      </c>
      <c r="K78" s="13"/>
      <c r="L78" s="14" t="n">
        <v>46300</v>
      </c>
      <c r="M78" s="13"/>
      <c r="N78" s="12" t="s">
        <v>382</v>
      </c>
      <c r="O78" s="13"/>
    </row>
    <row r="79" customFormat="false" ht="16.5" hidden="false" customHeight="true" outlineLevel="0" collapsed="false">
      <c r="A79" s="12" t="str">
        <f aca="false">TEXT(ROW()-1,"C-000")</f>
        <v>C-078</v>
      </c>
      <c r="B79" s="12" t="s">
        <v>230</v>
      </c>
      <c r="C79" s="12" t="s">
        <v>388</v>
      </c>
      <c r="D79" s="11" t="s">
        <v>311</v>
      </c>
      <c r="E79" s="12" t="s">
        <v>387</v>
      </c>
      <c r="F79" s="12" t="s">
        <v>319</v>
      </c>
      <c r="G79" s="12" t="s">
        <v>381</v>
      </c>
      <c r="H79" s="15" t="n">
        <v>4</v>
      </c>
      <c r="I79" s="15"/>
      <c r="J79" s="12" t="s">
        <v>37</v>
      </c>
      <c r="K79" s="13"/>
      <c r="L79" s="14" t="n">
        <v>46300</v>
      </c>
      <c r="M79" s="13"/>
      <c r="N79" s="12" t="s">
        <v>382</v>
      </c>
      <c r="O79" s="13"/>
    </row>
    <row r="80" customFormat="false" ht="32.25" hidden="false" customHeight="true" outlineLevel="0" collapsed="false">
      <c r="A80" s="12" t="str">
        <f aca="false">TEXT(ROW()-1,"C-000")</f>
        <v>C-079</v>
      </c>
      <c r="B80" s="11" t="s">
        <v>389</v>
      </c>
      <c r="C80" s="12" t="s">
        <v>390</v>
      </c>
      <c r="D80" s="11" t="s">
        <v>311</v>
      </c>
      <c r="E80" s="12" t="s">
        <v>387</v>
      </c>
      <c r="F80" s="12" t="s">
        <v>319</v>
      </c>
      <c r="G80" s="12" t="s">
        <v>381</v>
      </c>
      <c r="H80" s="15" t="n">
        <v>4</v>
      </c>
      <c r="I80" s="15"/>
      <c r="J80" s="12" t="s">
        <v>37</v>
      </c>
      <c r="K80" s="13"/>
      <c r="L80" s="14" t="n">
        <v>46300</v>
      </c>
      <c r="M80" s="13"/>
      <c r="N80" s="12" t="s">
        <v>382</v>
      </c>
      <c r="O80" s="13"/>
    </row>
    <row r="81" customFormat="false" ht="16.5" hidden="false" customHeight="true" outlineLevel="0" collapsed="false">
      <c r="A81" s="12" t="str">
        <f aca="false">TEXT(ROW()-1,"C-000")</f>
        <v>C-080</v>
      </c>
      <c r="B81" s="12" t="s">
        <v>391</v>
      </c>
      <c r="C81" s="11" t="s">
        <v>392</v>
      </c>
      <c r="D81" s="11" t="s">
        <v>311</v>
      </c>
      <c r="E81" s="12" t="s">
        <v>387</v>
      </c>
      <c r="F81" s="12" t="s">
        <v>319</v>
      </c>
      <c r="G81" s="12" t="s">
        <v>381</v>
      </c>
      <c r="H81" s="15" t="n">
        <v>4</v>
      </c>
      <c r="I81" s="15"/>
      <c r="J81" s="12" t="s">
        <v>37</v>
      </c>
      <c r="K81" s="13"/>
      <c r="L81" s="14" t="n">
        <v>46300</v>
      </c>
      <c r="M81" s="13"/>
      <c r="N81" s="12" t="s">
        <v>382</v>
      </c>
      <c r="O81" s="13"/>
    </row>
    <row r="82" customFormat="false" ht="32.25" hidden="false" customHeight="true" outlineLevel="0" collapsed="false">
      <c r="A82" s="12" t="str">
        <f aca="false">TEXT(ROW()-1,"C-000")</f>
        <v>C-081</v>
      </c>
      <c r="B82" s="12" t="s">
        <v>49</v>
      </c>
      <c r="C82" s="12" t="s">
        <v>393</v>
      </c>
      <c r="D82" s="11" t="s">
        <v>311</v>
      </c>
      <c r="E82" s="12" t="s">
        <v>387</v>
      </c>
      <c r="F82" s="12" t="s">
        <v>319</v>
      </c>
      <c r="G82" s="12" t="s">
        <v>381</v>
      </c>
      <c r="H82" s="15" t="n">
        <v>4</v>
      </c>
      <c r="I82" s="15"/>
      <c r="J82" s="12" t="s">
        <v>37</v>
      </c>
      <c r="K82" s="13"/>
      <c r="L82" s="14" t="n">
        <v>46300</v>
      </c>
      <c r="M82" s="13"/>
      <c r="N82" s="12" t="s">
        <v>382</v>
      </c>
      <c r="O82" s="13"/>
    </row>
    <row r="83" customFormat="false" ht="32.25" hidden="false" customHeight="true" outlineLevel="0" collapsed="false">
      <c r="A83" s="12" t="str">
        <f aca="false">TEXT(ROW()-1,"C-000")</f>
        <v>C-082</v>
      </c>
      <c r="B83" s="12" t="s">
        <v>131</v>
      </c>
      <c r="C83" s="11" t="s">
        <v>394</v>
      </c>
      <c r="D83" s="11" t="s">
        <v>311</v>
      </c>
      <c r="E83" s="12" t="s">
        <v>387</v>
      </c>
      <c r="F83" s="12" t="s">
        <v>319</v>
      </c>
      <c r="G83" s="12" t="s">
        <v>381</v>
      </c>
      <c r="H83" s="15" t="n">
        <v>4</v>
      </c>
      <c r="I83" s="15"/>
      <c r="J83" s="12" t="s">
        <v>37</v>
      </c>
      <c r="K83" s="13"/>
      <c r="L83" s="14" t="n">
        <v>46300</v>
      </c>
      <c r="M83" s="13"/>
      <c r="N83" s="12" t="s">
        <v>382</v>
      </c>
      <c r="O83" s="13"/>
    </row>
    <row r="84" customFormat="false" ht="16.5" hidden="false" customHeight="true" outlineLevel="0" collapsed="false">
      <c r="A84" s="12" t="str">
        <f aca="false">TEXT(ROW()-1,"C-000")</f>
        <v>C-083</v>
      </c>
      <c r="B84" s="11" t="s">
        <v>395</v>
      </c>
      <c r="C84" s="12" t="s">
        <v>396</v>
      </c>
      <c r="D84" s="11" t="s">
        <v>311</v>
      </c>
      <c r="E84" s="12" t="s">
        <v>387</v>
      </c>
      <c r="F84" s="12" t="s">
        <v>319</v>
      </c>
      <c r="G84" s="12" t="s">
        <v>381</v>
      </c>
      <c r="H84" s="15" t="n">
        <v>4</v>
      </c>
      <c r="I84" s="15"/>
      <c r="J84" s="12" t="s">
        <v>37</v>
      </c>
      <c r="K84" s="13"/>
      <c r="L84" s="14" t="n">
        <v>46300</v>
      </c>
      <c r="M84" s="13"/>
      <c r="N84" s="12" t="s">
        <v>382</v>
      </c>
      <c r="O84" s="13"/>
    </row>
  </sheetData>
  <autoFilter ref="A1:O84"/>
  <dataValidations count="2">
    <dataValidation allowBlank="true" errorStyle="stop" operator="between" showDropDown="false" showErrorMessage="false" showInputMessage="false" sqref="J2:J500" type="list">
      <formula1>"已開原文,僅摘要,轉述,未查"</formula1>
      <formula2>0</formula2>
    </dataValidation>
    <dataValidation allowBlank="true" errorStyle="stop" operator="between" showDropDown="false" showErrorMessage="false" showInputMessage="false" sqref="G2:G500" type="list">
      <formula1>"實績,財測,共識,第三方估計,傳聞,推論,未分類"</formula1>
      <formula2>0</formula2>
    </dataValidation>
  </dataValidations>
  <hyperlinks>
    <hyperlink ref="O2" r:id="rId1" display="https://news.cnyes.com/news/id/6619198"/>
    <hyperlink ref="O3" r:id="rId2" display="https://news.cnyes.com/news/id/6619198"/>
    <hyperlink ref="O4" r:id="rId3" display="https://news.cnyes.com/news/id/6619198"/>
    <hyperlink ref="O5" r:id="rId4" display="https://investors.broadcom.com/static-files/96641754-401f-4090-a4ab-210728c83a28"/>
    <hyperlink ref="O6" r:id="rId5" display="https://investors.broadcom.com/static-files/96641754-401f-4090-a4ab-210728c83a28"/>
    <hyperlink ref="O7" r:id="rId6" display="https://investors.broadcom.com/static-files/96641754-401f-4090-a4ab-210728c83a28"/>
    <hyperlink ref="O8" r:id="rId7" display="https://www.sec.gov/Archives/edgar/data/0001835632/000183563226000022/q227_8kx812026ex-991.htm"/>
    <hyperlink ref="O9" r:id="rId8" display="https://www.sec.gov/Archives/edgar/data/0001835632/000183563226000022/q227_8kx812026ex-991.htm"/>
    <hyperlink ref="O10" r:id="rId9" display="https://www.sec.gov/Archives/edgar/data/0001835632/000183563226000022/q227_8kx812026ex-991.htm"/>
    <hyperlink ref="O11" r:id="rId10" display="https://investor.lumentum.com/financial-news-releases/news-details/2026/Lumentum-Announces-Fourth-Quarter-and-Full-Fiscal-Year-2026-Results/default.aspx"/>
    <hyperlink ref="O12" r:id="rId11" display="https://investor.lumentum.com/financial-news-releases/news-details/2026/Lumentum-Announces-Fourth-Quarter-and-Full-Fiscal-Year-2026-Results/default.aspx"/>
    <hyperlink ref="O13" r:id="rId12" display="https://investor.lumentum.com/financial-news-releases/news-details/2026/Lumentum-Announces-Fourth-Quarter-and-Full-Fiscal-Year-2026-Results/default.aspx"/>
    <hyperlink ref="O14" r:id="rId13" display="https://www.coherent.com/news/press-releases/fourth-quarter-and-fiscal-year-2026-results"/>
    <hyperlink ref="O15" r:id="rId14" display="https://www.coherent.com/news/press-releases/fourth-quarter-and-fiscal-year-2026-results"/>
    <hyperlink ref="O16" r:id="rId15" display="https://www.sec.gov/Archives/edgar/data/1596532/000159653226000175/anet-20260630.htm"/>
    <hyperlink ref="O17" r:id="rId16" display="https://www.sec.gov/Archives/edgar/data/1596532/000159653226000175/anet-20260630.htm"/>
    <hyperlink ref="O18" r:id="rId17" display="https://www.sec.gov/Archives/edgar/data/1596532/000159653226000175/anet-20260630.htm"/>
    <hyperlink ref="O19" r:id="rId18" display="https://investors.vertiv.com/news/news-details/2026/Vertiv-Reports-Strong-Second-Quarter-2026-with-Diluted-EPS-Growth-of-53-Adjusted-Diluted-EPS-Growth-of-60-Raises-Full-Year-2026-Guidance-Across-All-Key-Metrics/default.aspx"/>
    <hyperlink ref="O20" r:id="rId19" display="https://investors.vertiv.com/news/news-details/2026/Vertiv-Reports-Strong-Second-Quarter-2026-with-Diluted-EPS-Growth-of-53-Adjusted-Diluted-EPS-Growth-of-60-Raises-Full-Year-2026-Guidance-Across-All-Key-Metrics/default.aspx"/>
    <hyperlink ref="O21" r:id="rId20" display="https://investors.vertiv.com/news/news-details/2026/Vertiv-Reports-Strong-Second-Quarter-2026-with-Diluted-EPS-Growth-of-53-Adjusted-Diluted-EPS-Growth-of-60-Raises-Full-Year-2026-Guidance-Across-All-Key-Metrics/default.aspx"/>
    <hyperlink ref="O22" r:id="rId21" display="https://www.businesswire.com/news/home/20260730561562/en/Eaton-Reports-Record-Second-Quarter-2026-Results-with-Strong-Organic-Growth-Accelerating-Orders-and-Backlog-and-Raises-Organic-Growth-Guidance"/>
    <hyperlink ref="O23" r:id="rId22" display="https://www.businesswire.com/news/home/20260730561562/en/Eaton-Reports-Record-Second-Quarter-2026-Results-with-Strong-Organic-Growth-Accelerating-Orders-and-Backlog-and-Raises-Organic-Growth-Guidance"/>
    <hyperlink ref="O24" r:id="rId23" display="https://www.businesswire.com/news/home/20260730561562/en/Eaton-Reports-Record-Second-Quarter-2026-Results-with-Strong-Organic-Growth-Accelerating-Orders-and-Backlog-and-Raises-Organic-Growth-Guidance"/>
    <hyperlink ref="O25" r:id="rId24" display="https://www.sec.gov/Archives/edgar/data/0000820313/000110465926087904/aph-20260729xex99d1.htm"/>
    <hyperlink ref="O26" r:id="rId25" display="https://www.sec.gov/Archives/edgar/data/0000820313/000110465926087904/aph-20260729xex99d1.htm"/>
    <hyperlink ref="O27" r:id="rId26" display="https://www.sec.gov/Archives/edgar/data/0000820313/000110465926087904/aph-20260729xex99d1.htm"/>
    <hyperlink ref="O28" r:id="rId27" display="https://www.advantest.com/document/en/investors/ir-library/result/E_FR_FY2026_1Q.pdf"/>
    <hyperlink ref="O29" r:id="rId28" display="https://www.advantest.com/document/en/investors/ir-library/result/E_FR_FY2026_1Q.pdf"/>
    <hyperlink ref="O30" r:id="rId29" display="https://www.advantest.com/document/en/investors/ir-library/result/E_FR_FY2026_1Q.pdf"/>
    <hyperlink ref="O31" r:id="rId30" display="https://investors.paloaltonetworks.com/news-releases/news-release-details/palo-alto-networks-reports-fiscal-fourth-quarter-and-fiscal-10"/>
    <hyperlink ref="O32" r:id="rId31" display="https://investors.paloaltonetworks.com/news-releases/news-release-details/palo-alto-networks-reports-fiscal-fourth-quarter-and-fiscal-10"/>
    <hyperlink ref="O33" r:id="rId32" display="https://investors.paloaltonetworks.com/news-releases/news-release-details/palo-alto-networks-reports-fiscal-fourth-quarter-and-fiscal-10"/>
    <hyperlink ref="O34" r:id="rId33" display="https://www.gevernova.com/sites/default/files/gev_webcast_pressrelease_07222026.pdf"/>
    <hyperlink ref="O35" r:id="rId34" display="https://www.gevernova.com/sites/default/files/gev_webcast_pressrelease_07222026.pdf"/>
    <hyperlink ref="O36" r:id="rId35" display="https://www.gevernova.com/sites/default/files/gev_webcast_pressrelease_07222026.pdf"/>
    <hyperlink ref="O37" r:id="rId36" display="https://news.cnyes.com/news/id/6603050"/>
    <hyperlink ref="O38" r:id="rId37" display="https://news.cnyes.com/news/id/6603050"/>
    <hyperlink ref="O39" r:id="rId38" display="https://news.ustv.com.tw/newsdetail/20260902A001020"/>
    <hyperlink ref="O40" r:id="rId39" display="https://news.ustv.com.tw/newsdetail/20260902A001020"/>
    <hyperlink ref="O41" r:id="rId40" display="https://udn.com/news/story/7252/9741093"/>
    <hyperlink ref="O42" r:id="rId41" display="https://udn.com/news/story/7252/9741093"/>
    <hyperlink ref="O43" r:id="rId42" display="https://news.cnyes.com/news/id/6597602"/>
    <hyperlink ref="O44" r:id="rId43" display="https://news.cnyes.com/news/id/6597602"/>
    <hyperlink ref="O45" r:id="rId44" display="https://m.cnyes.com/news/id/6597745"/>
    <hyperlink ref="O46" r:id="rId45" display="https://m.cnyes.com/news/id/6597745"/>
    <hyperlink ref="O47" r:id="rId46" display="https://news.cnyes.com/news/id/6600144"/>
    <hyperlink ref="O48" r:id="rId47" display="https://news.cnyes.com/news/id/6600144"/>
    <hyperlink ref="O49" r:id="rId48" display="https://www.ctee.com.tw/news/20260908701262-430502"/>
    <hyperlink ref="O50" r:id="rId49" display="https://www.ctee.com.tw/news/20260908701262-430502"/>
    <hyperlink ref="O51" r:id="rId50" display="https://www.chinatimes.com/realtimenews/20260905002223-260410"/>
    <hyperlink ref="O52" r:id="rId51" display="https://www.chinatimes.com/realtimenews/20260905002223-260410"/>
    <hyperlink ref="O53" r:id="rId52" display="https://investors.broadcom.com/static-files/96641754-401f-4090-a4ab-210728c83a28"/>
    <hyperlink ref="O54" r:id="rId53" display="https://investors.broadcom.com/static-files/96641754-401f-4090-a4ab-210728c83a28"/>
    <hyperlink ref="O55" r:id="rId54" display="https://www.sec.gov/Archives/edgar/data/1596532/000159653226000175/anet-20260630.htm"/>
    <hyperlink ref="O56" r:id="rId55" display="https://www.sec.gov/Archives/edgar/data/1596532/000159653226000175/anet-20260630.htm"/>
    <hyperlink ref="O57" r:id="rId56" display="https://www.sec.gov/Archives/edgar/data/1596532/000159653226000175/anet-20260630.htm"/>
    <hyperlink ref="O58" r:id="rId57" display="https://www.foxbusiness.com/economy/federal-reserve-interest-rate-decision-september-16-2026"/>
    <hyperlink ref="O59" r:id="rId58" display="https://www.federalreserve.gov/monetarypolicy/fomcprojtabl20260916.htm"/>
    <hyperlink ref="O60" r:id="rId59" display="https://www.bls.gov/news.release/empsit.htm"/>
    <hyperlink ref="O61" r:id="rId60" display="https://www.trendforce.com/presscenter/news/20260825-13198.html"/>
    <hyperlink ref="O62" r:id="rId61" display="https://www.trendforce.com/presscenter/news/20260929-13255.html"/>
    <hyperlink ref="O63" r:id="rId62" display="https://aiweekly.co/alerts/nvidia-tests-lower-memory-rubin-ultra-variants-amid-hbm-squeeze"/>
    <hyperlink ref="O64" r:id="rId63" display="https://www.trendforce.com/presscenter/news/20260901-13210.html"/>
    <hyperlink ref="O65" r:id="rId64" display="https://www.trendforce.com/presscenter/news/20260827-13202.html"/>
    <hyperlink ref="O66" r:id="rId65" display="https://insights.trendforce.com/p/agentic-ai-cpu-gpu"/>
    <hyperlink ref="O67" r:id="rId66" display="https://www.forbes.com/sites/maryroeloffs/2026/09/30/metas-muse-ai-assistant-hits-5-million-downloads-outpacing-growth-of-chatgpt-grok-and-claude/"/>
    <hyperlink ref="O68" r:id="rId67" display="https://www.apple.com/newsroom/2026/09/apple-unveils-iphone-duo/"/>
    <hyperlink ref="O69" r:id="rId68" display="https://www.iclarified.com/102501/apple-targets-october-13-for-smart-home-hub-new-homepod-mini-and-apple-tv-gurman"/>
    <hyperlink ref="O70" r:id="rId69" display="https://openai.com/index/introducing-dots/"/>
    <hyperlink ref="O71" r:id="rId70" display="https://www.marvell.com/company/events.html"/>
    <hyperlink ref="O72" r:id="rId71" display="https://www.investing.com/news/stock-market-news/tsmc-evaluates-potential-texas-investment-sources-say-4924436"/>
    <hyperlink ref="O73" r:id="rId72" display="https://investor.tsmc.com/english/financial-calendar"/>
    <hyperlink ref="O74" r:id="rId73" display="https://job.mynavi.jp/27/pc/search/corp287907/outline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2"/>
  </cols>
  <sheetData>
    <row r="1" customFormat="false" ht="15" hidden="false" customHeight="true" outlineLevel="0" collapsed="false">
      <c r="A1" s="19" t="s">
        <v>397</v>
      </c>
    </row>
    <row r="2" customFormat="false" ht="32.25" hidden="false" customHeight="true" outlineLevel="0" collapsed="false">
      <c r="A2" s="10" t="s">
        <v>41</v>
      </c>
      <c r="B2" s="10" t="s">
        <v>398</v>
      </c>
      <c r="C2" s="10" t="s">
        <v>399</v>
      </c>
      <c r="D2" s="10" t="s">
        <v>400</v>
      </c>
      <c r="E2" s="10" t="s">
        <v>401</v>
      </c>
      <c r="F2" s="10" t="s">
        <v>402</v>
      </c>
      <c r="G2" s="10" t="s">
        <v>403</v>
      </c>
    </row>
    <row r="3" customFormat="false" ht="16.5" hidden="false" customHeight="true" outlineLevel="0" collapsed="false">
      <c r="A3" s="12" t="s">
        <v>199</v>
      </c>
      <c r="B3" s="12" t="s">
        <v>404</v>
      </c>
      <c r="C3" s="12" t="s">
        <v>405</v>
      </c>
      <c r="D3" s="12" t="s">
        <v>405</v>
      </c>
      <c r="E3" s="12" t="s">
        <v>404</v>
      </c>
      <c r="F3" s="12" t="s">
        <v>405</v>
      </c>
      <c r="G3" s="12" t="s">
        <v>406</v>
      </c>
    </row>
    <row r="4" customFormat="false" ht="16.5" hidden="false" customHeight="true" outlineLevel="0" collapsed="false">
      <c r="A4" s="11" t="s">
        <v>56</v>
      </c>
      <c r="B4" s="12" t="s">
        <v>404</v>
      </c>
      <c r="C4" s="12" t="s">
        <v>404</v>
      </c>
      <c r="D4" s="12" t="s">
        <v>406</v>
      </c>
      <c r="E4" s="12" t="s">
        <v>405</v>
      </c>
      <c r="F4" s="12" t="s">
        <v>406</v>
      </c>
      <c r="G4" s="12" t="s">
        <v>406</v>
      </c>
    </row>
    <row r="5" customFormat="false" ht="16.5" hidden="false" customHeight="true" outlineLevel="0" collapsed="false">
      <c r="A5" s="11" t="s">
        <v>407</v>
      </c>
      <c r="B5" s="12" t="s">
        <v>404</v>
      </c>
      <c r="C5" s="12" t="s">
        <v>404</v>
      </c>
      <c r="D5" s="12" t="s">
        <v>406</v>
      </c>
      <c r="E5" s="12" t="s">
        <v>405</v>
      </c>
      <c r="F5" s="12" t="s">
        <v>406</v>
      </c>
      <c r="G5" s="12" t="s">
        <v>406</v>
      </c>
    </row>
    <row r="6" customFormat="false" ht="16.5" hidden="false" customHeight="true" outlineLevel="0" collapsed="false">
      <c r="A6" s="11" t="s">
        <v>408</v>
      </c>
      <c r="B6" s="12" t="s">
        <v>404</v>
      </c>
      <c r="C6" s="12" t="s">
        <v>409</v>
      </c>
      <c r="D6" s="12" t="s">
        <v>406</v>
      </c>
      <c r="E6" s="12" t="s">
        <v>410</v>
      </c>
      <c r="F6" s="12" t="s">
        <v>406</v>
      </c>
      <c r="G6" s="12" t="s">
        <v>406</v>
      </c>
    </row>
    <row r="7" customFormat="false" ht="16.5" hidden="false" customHeight="true" outlineLevel="0" collapsed="false">
      <c r="A7" s="12" t="s">
        <v>49</v>
      </c>
      <c r="B7" s="12" t="s">
        <v>404</v>
      </c>
      <c r="C7" s="12" t="s">
        <v>404</v>
      </c>
      <c r="D7" s="12" t="s">
        <v>411</v>
      </c>
      <c r="E7" s="12" t="s">
        <v>405</v>
      </c>
      <c r="F7" s="12" t="s">
        <v>405</v>
      </c>
      <c r="G7" s="12" t="s">
        <v>406</v>
      </c>
    </row>
    <row r="8" customFormat="false" ht="16.5" hidden="false" customHeight="true" outlineLevel="0" collapsed="false">
      <c r="A8" s="12" t="s">
        <v>412</v>
      </c>
      <c r="B8" s="12" t="s">
        <v>404</v>
      </c>
      <c r="C8" s="12" t="s">
        <v>404</v>
      </c>
      <c r="D8" s="12" t="s">
        <v>406</v>
      </c>
      <c r="E8" s="12" t="s">
        <v>405</v>
      </c>
      <c r="F8" s="12" t="s">
        <v>406</v>
      </c>
      <c r="G8" s="12" t="s">
        <v>406</v>
      </c>
    </row>
    <row r="9" customFormat="false" ht="16.5" hidden="false" customHeight="true" outlineLevel="0" collapsed="false">
      <c r="A9" s="11" t="s">
        <v>413</v>
      </c>
      <c r="B9" s="12" t="s">
        <v>405</v>
      </c>
      <c r="C9" s="12" t="s">
        <v>405</v>
      </c>
      <c r="D9" s="12" t="s">
        <v>406</v>
      </c>
      <c r="E9" s="12" t="s">
        <v>410</v>
      </c>
      <c r="F9" s="12" t="s">
        <v>406</v>
      </c>
      <c r="G9" s="12" t="s">
        <v>406</v>
      </c>
    </row>
    <row r="10" customFormat="false" ht="16.5" hidden="false" customHeight="true" outlineLevel="0" collapsed="false">
      <c r="A10" s="12" t="s">
        <v>348</v>
      </c>
      <c r="B10" s="12" t="s">
        <v>414</v>
      </c>
      <c r="C10" s="12" t="s">
        <v>405</v>
      </c>
      <c r="D10" s="12" t="s">
        <v>406</v>
      </c>
      <c r="E10" s="12" t="s">
        <v>404</v>
      </c>
      <c r="F10" s="12" t="s">
        <v>404</v>
      </c>
      <c r="G10" s="12" t="s">
        <v>406</v>
      </c>
    </row>
  </sheetData>
  <autoFilter ref="A2:G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4"/>
  </cols>
  <sheetData>
    <row r="1" customFormat="false" ht="15.75" hidden="false" customHeight="true" outlineLevel="0" collapsed="false">
      <c r="A1" s="23" t="s">
        <v>415</v>
      </c>
    </row>
    <row r="2" customFormat="false" ht="16.5" hidden="false" customHeight="true" outlineLevel="0" collapsed="false">
      <c r="A2" s="19" t="s">
        <v>416</v>
      </c>
    </row>
    <row r="4" customFormat="false" ht="16.5" hidden="false" customHeight="true" outlineLevel="0" collapsed="false">
      <c r="A4" s="1" t="s">
        <v>417</v>
      </c>
      <c r="B4" s="24" t="n">
        <v>0.4</v>
      </c>
    </row>
    <row r="5" customFormat="false" ht="16.5" hidden="false" customHeight="true" outlineLevel="0" collapsed="false">
      <c r="A5" s="25" t="s">
        <v>418</v>
      </c>
      <c r="B5" s="26" t="n">
        <v>1</v>
      </c>
    </row>
    <row r="6" customFormat="false" ht="15" hidden="false" customHeight="true" outlineLevel="0" collapsed="false">
      <c r="A6" s="25" t="s">
        <v>419</v>
      </c>
      <c r="B6" s="24"/>
    </row>
    <row r="8" customFormat="false" ht="15" hidden="false" customHeight="true" outlineLevel="0" collapsed="false">
      <c r="A8" s="27" t="s">
        <v>420</v>
      </c>
      <c r="B8" s="27" t="s">
        <v>421</v>
      </c>
      <c r="C8" s="27" t="s">
        <v>422</v>
      </c>
      <c r="D8" s="27" t="s">
        <v>423</v>
      </c>
    </row>
    <row r="9" customFormat="false" ht="16.5" hidden="false" customHeight="true" outlineLevel="0" collapsed="false">
      <c r="A9" s="6" t="s">
        <v>424</v>
      </c>
      <c r="B9" s="28" t="n">
        <v>0.15</v>
      </c>
      <c r="C9" s="29" t="n">
        <f aca="false">$B$4*$B$5*B9</f>
        <v>0.06</v>
      </c>
      <c r="D9" s="6" t="str">
        <f aca="false">IF(ISNUMBER($B$6),IF(C9&gt;$B$6,"超過","在範圍內"),"先填 B6")</f>
        <v>先填 B6</v>
      </c>
    </row>
    <row r="10" customFormat="false" ht="16.5" hidden="false" customHeight="true" outlineLevel="0" collapsed="false">
      <c r="A10" s="6" t="s">
        <v>425</v>
      </c>
      <c r="B10" s="28" t="n">
        <v>0.3</v>
      </c>
      <c r="C10" s="29" t="n">
        <f aca="false">$B$4*$B$5*B10</f>
        <v>0.12</v>
      </c>
      <c r="D10" s="6" t="str">
        <f aca="false">IF(ISNUMBER($B$6),IF(C10&gt;$B$6,"超過","在範圍內"),"先填 B6")</f>
        <v>先填 B6</v>
      </c>
    </row>
    <row r="11" customFormat="false" ht="16.5" hidden="false" customHeight="true" outlineLevel="0" collapsed="false">
      <c r="A11" s="6" t="s">
        <v>426</v>
      </c>
      <c r="B11" s="28" t="n">
        <v>0.5</v>
      </c>
      <c r="C11" s="29" t="n">
        <f aca="false">$B$4*$B$5*B11</f>
        <v>0.2</v>
      </c>
      <c r="D11" s="6" t="str">
        <f aca="false">IF(ISNUMBER($B$6),IF(C11&gt;$B$6,"超過","在範圍內"),"先填 B6")</f>
        <v>先填 B6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32.25" hidden="false" customHeight="true" outlineLevel="0" collapsed="false">
      <c r="A1" s="10" t="s">
        <v>427</v>
      </c>
      <c r="B1" s="10" t="s">
        <v>428</v>
      </c>
      <c r="C1" s="10" t="s">
        <v>429</v>
      </c>
      <c r="D1" s="10" t="s">
        <v>430</v>
      </c>
      <c r="E1" s="10" t="s">
        <v>277</v>
      </c>
      <c r="F1" s="10" t="s">
        <v>431</v>
      </c>
      <c r="G1" s="10" t="s">
        <v>432</v>
      </c>
      <c r="H1" s="10" t="s">
        <v>47</v>
      </c>
    </row>
    <row r="2" customFormat="false" ht="16.5" hidden="false" customHeight="true" outlineLevel="0" collapsed="false">
      <c r="A2" s="11" t="s">
        <v>433</v>
      </c>
      <c r="B2" s="11" t="s">
        <v>434</v>
      </c>
      <c r="C2" s="11" t="s">
        <v>435</v>
      </c>
      <c r="D2" s="12" t="s">
        <v>436</v>
      </c>
      <c r="E2" s="12" t="s">
        <v>437</v>
      </c>
      <c r="F2" s="12" t="s">
        <v>438</v>
      </c>
      <c r="G2" s="16"/>
      <c r="H2" s="12" t="s">
        <v>439</v>
      </c>
    </row>
    <row r="3" customFormat="false" ht="16.5" hidden="false" customHeight="true" outlineLevel="0" collapsed="false">
      <c r="A3" s="11" t="s">
        <v>433</v>
      </c>
      <c r="B3" s="11" t="s">
        <v>440</v>
      </c>
      <c r="C3" s="11" t="s">
        <v>441</v>
      </c>
      <c r="D3" s="12" t="s">
        <v>436</v>
      </c>
      <c r="E3" s="11" t="s">
        <v>442</v>
      </c>
      <c r="F3" s="12" t="s">
        <v>438</v>
      </c>
      <c r="G3" s="16"/>
      <c r="H3" s="12" t="s">
        <v>443</v>
      </c>
    </row>
    <row r="4" customFormat="false" ht="16.5" hidden="false" customHeight="true" outlineLevel="0" collapsed="false">
      <c r="A4" s="11" t="s">
        <v>433</v>
      </c>
      <c r="B4" s="11" t="s">
        <v>444</v>
      </c>
      <c r="C4" s="12" t="s">
        <v>445</v>
      </c>
      <c r="D4" s="12" t="s">
        <v>446</v>
      </c>
      <c r="E4" s="11" t="s">
        <v>447</v>
      </c>
      <c r="F4" s="12" t="s">
        <v>448</v>
      </c>
      <c r="G4" s="30" t="n">
        <f aca="false">542.3/575-1</f>
        <v>-0.0568695652173914</v>
      </c>
      <c r="H4" s="12" t="s">
        <v>449</v>
      </c>
    </row>
    <row r="5" customFormat="false" ht="16.5" hidden="false" customHeight="true" outlineLevel="0" collapsed="false">
      <c r="A5" s="11" t="s">
        <v>433</v>
      </c>
      <c r="B5" s="11" t="s">
        <v>444</v>
      </c>
      <c r="C5" s="12" t="s">
        <v>450</v>
      </c>
      <c r="D5" s="12" t="s">
        <v>436</v>
      </c>
      <c r="E5" s="12" t="s">
        <v>451</v>
      </c>
      <c r="F5" s="12" t="s">
        <v>452</v>
      </c>
      <c r="G5" s="16"/>
      <c r="H5" s="13"/>
    </row>
    <row r="6" customFormat="false" ht="16.5" hidden="false" customHeight="true" outlineLevel="0" collapsed="false">
      <c r="A6" s="11" t="s">
        <v>433</v>
      </c>
      <c r="B6" s="11" t="s">
        <v>434</v>
      </c>
      <c r="C6" s="11" t="s">
        <v>453</v>
      </c>
      <c r="D6" s="12" t="s">
        <v>454</v>
      </c>
      <c r="E6" s="11" t="s">
        <v>311</v>
      </c>
      <c r="F6" s="12" t="s">
        <v>455</v>
      </c>
      <c r="G6" s="16"/>
      <c r="H6" s="12" t="s">
        <v>456</v>
      </c>
    </row>
    <row r="7" customFormat="false" ht="16.5" hidden="false" customHeight="true" outlineLevel="0" collapsed="false">
      <c r="A7" s="11" t="s">
        <v>433</v>
      </c>
      <c r="B7" s="11" t="s">
        <v>457</v>
      </c>
      <c r="C7" s="12" t="s">
        <v>458</v>
      </c>
      <c r="D7" s="12" t="s">
        <v>228</v>
      </c>
      <c r="E7" s="12" t="s">
        <v>459</v>
      </c>
      <c r="F7" s="12" t="s">
        <v>460</v>
      </c>
      <c r="G7" s="16"/>
      <c r="H7" s="13"/>
    </row>
    <row r="8" customFormat="false" ht="16.5" hidden="false" customHeight="true" outlineLevel="0" collapsed="false">
      <c r="A8" s="11" t="s">
        <v>433</v>
      </c>
      <c r="B8" s="11" t="s">
        <v>457</v>
      </c>
      <c r="C8" s="11" t="s">
        <v>461</v>
      </c>
      <c r="D8" s="12" t="s">
        <v>462</v>
      </c>
      <c r="E8" s="12" t="s">
        <v>463</v>
      </c>
      <c r="F8" s="12" t="s">
        <v>438</v>
      </c>
      <c r="G8" s="16"/>
      <c r="H8" s="12" t="s">
        <v>464</v>
      </c>
    </row>
    <row r="9" customFormat="false" ht="16.5" hidden="false" customHeight="true" outlineLevel="0" collapsed="false">
      <c r="A9" s="11" t="s">
        <v>433</v>
      </c>
      <c r="B9" s="11" t="s">
        <v>444</v>
      </c>
      <c r="C9" s="11" t="s">
        <v>465</v>
      </c>
      <c r="D9" s="12" t="s">
        <v>446</v>
      </c>
      <c r="E9" s="12" t="s">
        <v>466</v>
      </c>
      <c r="F9" s="12" t="s">
        <v>467</v>
      </c>
      <c r="G9" s="16"/>
      <c r="H9" s="12" t="s">
        <v>468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44"/>
  </cols>
  <sheetData>
    <row r="1" customFormat="false" ht="32.25" hidden="false" customHeight="true" outlineLevel="0" collapsed="false">
      <c r="A1" s="10" t="s">
        <v>469</v>
      </c>
      <c r="B1" s="10" t="s">
        <v>470</v>
      </c>
      <c r="C1" s="10" t="s">
        <v>471</v>
      </c>
      <c r="D1" s="10" t="s">
        <v>472</v>
      </c>
      <c r="E1" s="10" t="s">
        <v>473</v>
      </c>
    </row>
    <row r="2" customFormat="false" ht="16.5" hidden="false" customHeight="true" outlineLevel="0" collapsed="false">
      <c r="A2" s="11" t="s">
        <v>474</v>
      </c>
      <c r="B2" s="11" t="s">
        <v>475</v>
      </c>
      <c r="C2" s="12" t="s">
        <v>476</v>
      </c>
      <c r="D2" s="12" t="s">
        <v>405</v>
      </c>
      <c r="E2" s="18" t="s">
        <v>160</v>
      </c>
    </row>
    <row r="3" customFormat="false" ht="16.5" hidden="false" customHeight="true" outlineLevel="0" collapsed="false">
      <c r="A3" s="11" t="s">
        <v>477</v>
      </c>
      <c r="B3" s="11" t="s">
        <v>478</v>
      </c>
      <c r="C3" s="12" t="s">
        <v>479</v>
      </c>
      <c r="D3" s="12" t="s">
        <v>404</v>
      </c>
      <c r="E3" s="18" t="s">
        <v>173</v>
      </c>
    </row>
    <row r="4" customFormat="false" ht="16.5" hidden="false" customHeight="true" outlineLevel="0" collapsed="false">
      <c r="A4" s="11" t="s">
        <v>480</v>
      </c>
      <c r="B4" s="11" t="s">
        <v>481</v>
      </c>
      <c r="C4" s="11" t="s">
        <v>482</v>
      </c>
      <c r="D4" s="12" t="s">
        <v>406</v>
      </c>
      <c r="E4" s="18" t="s">
        <v>361</v>
      </c>
    </row>
    <row r="5" customFormat="false" ht="16.5" hidden="false" customHeight="true" outlineLevel="0" collapsed="false">
      <c r="A5" s="11" t="s">
        <v>483</v>
      </c>
      <c r="B5" s="11" t="s">
        <v>484</v>
      </c>
      <c r="C5" s="12" t="s">
        <v>485</v>
      </c>
      <c r="D5" s="12" t="s">
        <v>406</v>
      </c>
      <c r="E5" s="18" t="s">
        <v>272</v>
      </c>
    </row>
    <row r="6" customFormat="false" ht="16.5" hidden="false" customHeight="true" outlineLevel="0" collapsed="false">
      <c r="A6" s="11" t="s">
        <v>486</v>
      </c>
      <c r="B6" s="12" t="s">
        <v>487</v>
      </c>
      <c r="C6" s="12" t="s">
        <v>488</v>
      </c>
      <c r="D6" s="12" t="s">
        <v>406</v>
      </c>
      <c r="E6" s="13"/>
    </row>
    <row r="7" customFormat="false" ht="16.5" hidden="false" customHeight="true" outlineLevel="0" collapsed="false">
      <c r="A7" s="11" t="s">
        <v>489</v>
      </c>
      <c r="B7" s="11" t="s">
        <v>490</v>
      </c>
      <c r="C7" s="12" t="s">
        <v>491</v>
      </c>
      <c r="D7" s="12" t="s">
        <v>406</v>
      </c>
      <c r="E7" s="18" t="s">
        <v>361</v>
      </c>
    </row>
    <row r="8" customFormat="false" ht="16.5" hidden="false" customHeight="true" outlineLevel="0" collapsed="false">
      <c r="A8" s="11" t="s">
        <v>492</v>
      </c>
      <c r="B8" s="12" t="s">
        <v>493</v>
      </c>
      <c r="C8" s="12" t="s">
        <v>494</v>
      </c>
      <c r="D8" s="12" t="s">
        <v>405</v>
      </c>
      <c r="E8" s="13"/>
    </row>
    <row r="9" customFormat="false" ht="16.5" hidden="false" customHeight="true" outlineLevel="0" collapsed="false">
      <c r="A9" s="11" t="s">
        <v>495</v>
      </c>
      <c r="B9" s="12" t="s">
        <v>496</v>
      </c>
      <c r="C9" s="12" t="s">
        <v>497</v>
      </c>
      <c r="D9" s="12" t="s">
        <v>405</v>
      </c>
      <c r="E9" s="13"/>
    </row>
    <row r="10" customFormat="false" ht="16.5" hidden="false" customHeight="true" outlineLevel="0" collapsed="false">
      <c r="A10" s="11" t="s">
        <v>498</v>
      </c>
      <c r="B10" s="12" t="s">
        <v>499</v>
      </c>
      <c r="C10" s="12" t="s">
        <v>500</v>
      </c>
      <c r="D10" s="12" t="s">
        <v>405</v>
      </c>
      <c r="E10" s="13"/>
    </row>
    <row r="11" customFormat="false" ht="16.5" hidden="false" customHeight="true" outlineLevel="0" collapsed="false">
      <c r="A11" s="11" t="s">
        <v>501</v>
      </c>
      <c r="B11" s="12" t="s">
        <v>502</v>
      </c>
      <c r="C11" s="12" t="s">
        <v>503</v>
      </c>
      <c r="D11" s="12" t="s">
        <v>405</v>
      </c>
      <c r="E11" s="13"/>
    </row>
    <row r="12" customFormat="false" ht="16.5" hidden="false" customHeight="true" outlineLevel="0" collapsed="false">
      <c r="A12" s="11" t="s">
        <v>504</v>
      </c>
      <c r="B12" s="12" t="s">
        <v>505</v>
      </c>
      <c r="C12" s="12" t="s">
        <v>506</v>
      </c>
      <c r="D12" s="12" t="s">
        <v>405</v>
      </c>
      <c r="E12" s="13"/>
    </row>
    <row r="13" customFormat="false" ht="16.5" hidden="false" customHeight="true" outlineLevel="0" collapsed="false">
      <c r="A13" s="11" t="s">
        <v>507</v>
      </c>
      <c r="B13" s="11" t="s">
        <v>508</v>
      </c>
      <c r="C13" s="12" t="s">
        <v>509</v>
      </c>
      <c r="D13" s="12" t="s">
        <v>405</v>
      </c>
      <c r="E13" s="18" t="s">
        <v>173</v>
      </c>
    </row>
    <row r="14" customFormat="false" ht="48.5" hidden="false" customHeight="false" outlineLevel="0" collapsed="false">
      <c r="A14" s="11" t="s">
        <v>510</v>
      </c>
      <c r="B14" s="11" t="s">
        <v>511</v>
      </c>
      <c r="C14" s="12" t="s">
        <v>512</v>
      </c>
      <c r="D14" s="12" t="s">
        <v>513</v>
      </c>
      <c r="E14" s="18" t="s">
        <v>514</v>
      </c>
    </row>
  </sheetData>
  <autoFilter ref="A1:E13"/>
  <hyperlinks>
    <hyperlink ref="E2" r:id="rId1" display="https://investors.broadcom.com/static-files/96641754-401f-4090-a4ab-210728c83a28"/>
    <hyperlink ref="E3" r:id="rId2" display="https://www.sec.gov/Archives/edgar/data/1596532/000159653226000175/anet-20260630.htm"/>
    <hyperlink ref="E4" r:id="rId3" display="https://openai.com/index/introducing-dots/"/>
    <hyperlink ref="E5" r:id="rId4" display="https://www.forbes.com/sites/maryroeloffs/2026/09/30/metas-muse-ai-assistant-hits-5-million-downloads-outpacing-growth-of-chatgpt-grok-and-claude/"/>
    <hyperlink ref="E7" r:id="rId5" display="https://openai.com/index/introducing-dots/"/>
    <hyperlink ref="E13" r:id="rId6" display="https://www.sec.gov/Archives/edgar/data/1596532/000159653226000175/anet-20260630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2026-10-05T09:06:50Z</dcterms:created>
  <dc:creator>openpyxl</dc:creator>
  <dc:description/>
  <dc:language>en-US</dc:language>
  <cp:lastModifiedBy/>
  <dcterms:modified xsi:type="dcterms:W3CDTF">2026-10-05T11:33:37Z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